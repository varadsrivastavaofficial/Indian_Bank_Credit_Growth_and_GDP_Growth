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53F09C5D-8578-4862-A693-37C206FBF06C}" xr6:coauthVersionLast="47" xr6:coauthVersionMax="47" xr10:uidLastSave="{00000000-0000-0000-0000-000000000000}"/>
  <bookViews>
    <workbookView xWindow="38280" yWindow="6570" windowWidth="20730" windowHeight="11760" xr2:uid="{CCD2488C-8F14-4D77-8CD1-15674E8619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  <c r="F3" i="1"/>
  <c r="E3" i="1"/>
  <c r="D3" i="1"/>
  <c r="C3" i="1"/>
  <c r="B3" i="1"/>
  <c r="G2" i="1" s="1"/>
  <c r="B6" i="1"/>
  <c r="C6" i="1"/>
  <c r="D6" i="1"/>
  <c r="E6" i="1"/>
  <c r="F6" i="1"/>
  <c r="G6" i="1"/>
  <c r="H6" i="1"/>
  <c r="I6" i="1"/>
  <c r="D31" i="1" l="1"/>
  <c r="F31" i="1"/>
  <c r="E31" i="1"/>
  <c r="C31" i="1"/>
  <c r="B31" i="1"/>
</calcChain>
</file>

<file path=xl/sharedStrings.xml><?xml version="1.0" encoding="utf-8"?>
<sst xmlns="http://schemas.openxmlformats.org/spreadsheetml/2006/main" count="88" uniqueCount="82">
  <si>
    <t>Gross Bank Credit (II + III)</t>
  </si>
  <si>
    <t>Food Credit</t>
  </si>
  <si>
    <t>Agriculture &amp; Allied Activities</t>
  </si>
  <si>
    <t>Industry (Micro &amp; Small, Medium and Large)</t>
  </si>
  <si>
    <t>Micro &amp; Small</t>
  </si>
  <si>
    <t>Medium</t>
  </si>
  <si>
    <t>Large</t>
  </si>
  <si>
    <t>Services</t>
  </si>
  <si>
    <t>Transport Operators</t>
  </si>
  <si>
    <t>Computer Software</t>
  </si>
  <si>
    <t>Tourism, Hotels &amp; Restaurants</t>
  </si>
  <si>
    <t>Shipping</t>
  </si>
  <si>
    <t>Professional Services</t>
  </si>
  <si>
    <t>Trade</t>
  </si>
  <si>
    <t>Wholesale Trade (other than food procurement)</t>
  </si>
  <si>
    <t>Retail Trade</t>
  </si>
  <si>
    <t>Commercial Real Estate</t>
  </si>
  <si>
    <t>Non-Banking Financial Companies (NBFCs)</t>
  </si>
  <si>
    <t>Other Services</t>
  </si>
  <si>
    <t>Personal Loans</t>
  </si>
  <si>
    <t>Consumer Durables</t>
  </si>
  <si>
    <t>Housing (Including Priority Sector Housing)</t>
  </si>
  <si>
    <t>Advances against Fixed Deposits (Including FCNR (B), NRNR Deposits etc.)</t>
  </si>
  <si>
    <t>Advances to Individuals against share, bonds, etc.</t>
  </si>
  <si>
    <t>Credit Card Outstanding</t>
  </si>
  <si>
    <t>Education</t>
  </si>
  <si>
    <t>Vehicle Loans</t>
  </si>
  <si>
    <t>Other Personal Loans</t>
  </si>
  <si>
    <t>Priority Sector</t>
  </si>
  <si>
    <t>Micro &amp; Small Enterprises</t>
  </si>
  <si>
    <t>Manufacturing</t>
  </si>
  <si>
    <t>Housing</t>
  </si>
  <si>
    <t>Micro-Credit</t>
  </si>
  <si>
    <t>Education Loans</t>
  </si>
  <si>
    <t>State-Sponsored Orgs. for SC/ST</t>
  </si>
  <si>
    <t>Weaker Sections</t>
  </si>
  <si>
    <t>Export Credit</t>
  </si>
  <si>
    <t>Mining &amp; Quarrying (incl. Coal)</t>
  </si>
  <si>
    <t>Food Processing</t>
  </si>
  <si>
    <t>Sugar</t>
  </si>
  <si>
    <t>Edible Oils &amp; Vanaspati</t>
  </si>
  <si>
    <t>Tea</t>
  </si>
  <si>
    <t>Others</t>
  </si>
  <si>
    <t>Beverage &amp; Tobacco</t>
  </si>
  <si>
    <t>Textiles</t>
  </si>
  <si>
    <t>Cotton Textiles</t>
  </si>
  <si>
    <t>Jute Textiles</t>
  </si>
  <si>
    <t>Man-Made Textiles</t>
  </si>
  <si>
    <t>Other Textiles</t>
  </si>
  <si>
    <t>Leather &amp; Leather Products</t>
  </si>
  <si>
    <t>Wood &amp; Wood Products</t>
  </si>
  <si>
    <t>Paper &amp; Paper Products</t>
  </si>
  <si>
    <t>Petroleum, Coal Products &amp; Nuclear Fuels</t>
  </si>
  <si>
    <t>Chemicals &amp; Chemical Products</t>
  </si>
  <si>
    <t>Fertiliser</t>
  </si>
  <si>
    <t>Drugs &amp; Pharmaceuticals</t>
  </si>
  <si>
    <t>Petro Chemicals</t>
  </si>
  <si>
    <t>Rubber, Plastic &amp; their Products</t>
  </si>
  <si>
    <t>Glass &amp; Glassware</t>
  </si>
  <si>
    <t>Cement &amp; Cement Products</t>
  </si>
  <si>
    <t>Basic Metal &amp; Metal Product</t>
  </si>
  <si>
    <t>Iron &amp; Steel</t>
  </si>
  <si>
    <t>Other Metal &amp; Metal Product</t>
  </si>
  <si>
    <t>All Engineering</t>
  </si>
  <si>
    <t>Electronics</t>
  </si>
  <si>
    <t>Vehicles, Vehicle Parts &amp; Transport Equipment</t>
  </si>
  <si>
    <t>Gems &amp; Jewellery</t>
  </si>
  <si>
    <t>Construction</t>
  </si>
  <si>
    <t>Infrastructure</t>
  </si>
  <si>
    <t>Power</t>
  </si>
  <si>
    <t>Telecommunications</t>
  </si>
  <si>
    <t xml:space="preserve">Roads </t>
  </si>
  <si>
    <t>Other Infrastructure</t>
  </si>
  <si>
    <t>Other Industries</t>
  </si>
  <si>
    <t>Industries</t>
  </si>
  <si>
    <t>Sector (Rs. Crore)</t>
  </si>
  <si>
    <t>GDP growth (annual %)</t>
  </si>
  <si>
    <t>GDP (current USD)</t>
  </si>
  <si>
    <t>Nominal GDP (current INR)</t>
  </si>
  <si>
    <t>TBA</t>
  </si>
  <si>
    <t>Exchange Rate (INR/USD)</t>
  </si>
  <si>
    <t>Non-food Credit (1 to 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</si>
</sst>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1"/>
      <color rgb="FF9C6500"/>
      <name val="Aptos Narrow"/>
      <family val="2"/>
      <scheme val="minor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8"/>
      <name val="Aptos Narrow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  <font>
      <b/>
      <sz val="10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ptos Narrow"/>
      <family val="2"/>
      <scheme val="minor"/>
    </font>
    <font>
      <sz val="10"/>
      <color rgb="FF333333"/>
      <name val="Arial"/>
      <family val="2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b/>
      <sz val="12"/>
      <color theme="1"/>
      <name val="Aptos Narrow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5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rgb="FFFFFFFF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rgb="FF000000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9A9A9A"/>
      </bottom>
      <diagonal/>
    </border>
  </borders>
  <cellStyleXfs count="9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0" borderId="0"/>
    <xf numFmtId="164" fontId="17" fillId="0" borderId="0" applyFont="0" applyFill="0" applyBorder="0" applyAlignment="0" applyProtection="0"/>
    <xf numFmtId="0" fontId="21" fillId="0" borderId="0"/>
    <xf numFmtId="0" fontId="22" fillId="0" borderId="0"/>
    <xf numFmtId="0" fontId="25" fillId="34" borderId="0" applyNumberFormat="0" applyBorder="0" applyAlignment="0" applyProtection="0"/>
    <xf numFmtId="0" fontId="25" fillId="35" borderId="0" applyNumberFormat="0" applyBorder="0" applyAlignment="0" applyProtection="0"/>
    <xf numFmtId="0" fontId="25" fillId="36" borderId="0" applyNumberFormat="0" applyBorder="0" applyAlignment="0" applyProtection="0"/>
    <xf numFmtId="0" fontId="25" fillId="37" borderId="0" applyNumberFormat="0" applyBorder="0" applyAlignment="0" applyProtection="0"/>
    <xf numFmtId="0" fontId="25" fillId="41" borderId="0" applyNumberFormat="0" applyBorder="0" applyAlignment="0" applyProtection="0"/>
    <xf numFmtId="0" fontId="25" fillId="42" borderId="0" applyNumberFormat="0" applyBorder="0" applyAlignment="0" applyProtection="0"/>
    <xf numFmtId="0" fontId="25" fillId="43" borderId="0" applyNumberFormat="0" applyBorder="0" applyAlignment="0" applyProtection="0"/>
    <xf numFmtId="0" fontId="25" fillId="44" borderId="0" applyNumberFormat="0" applyBorder="0" applyAlignment="0" applyProtection="0"/>
    <xf numFmtId="0" fontId="25" fillId="38" borderId="0" applyNumberFormat="0" applyBorder="0" applyAlignment="0" applyProtection="0"/>
    <xf numFmtId="0" fontId="25" fillId="37" borderId="0" applyNumberFormat="0" applyBorder="0" applyAlignment="0" applyProtection="0"/>
    <xf numFmtId="0" fontId="25" fillId="43" borderId="0" applyNumberFormat="0" applyBorder="0" applyAlignment="0" applyProtection="0"/>
    <xf numFmtId="0" fontId="25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4" borderId="0" applyNumberFormat="0" applyBorder="0" applyAlignment="0" applyProtection="0"/>
    <xf numFmtId="0" fontId="26" fillId="38" borderId="0" applyNumberFormat="0" applyBorder="0" applyAlignment="0" applyProtection="0"/>
    <xf numFmtId="0" fontId="26" fillId="39" borderId="0" applyNumberFormat="0" applyBorder="0" applyAlignment="0" applyProtection="0"/>
    <xf numFmtId="0" fontId="26" fillId="47" borderId="0" applyNumberFormat="0" applyBorder="0" applyAlignment="0" applyProtection="0"/>
    <xf numFmtId="0" fontId="26" fillId="40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50" borderId="0" applyNumberFormat="0" applyBorder="0" applyAlignment="0" applyProtection="0"/>
    <xf numFmtId="0" fontId="26" fillId="39" borderId="0" applyNumberFormat="0" applyBorder="0" applyAlignment="0" applyProtection="0"/>
    <xf numFmtId="0" fontId="26" fillId="47" borderId="0" applyNumberFormat="0" applyBorder="0" applyAlignment="0" applyProtection="0"/>
    <xf numFmtId="0" fontId="26" fillId="51" borderId="0" applyNumberFormat="0" applyBorder="0" applyAlignment="0" applyProtection="0"/>
    <xf numFmtId="0" fontId="27" fillId="35" borderId="0" applyNumberFormat="0" applyBorder="0" applyAlignment="0" applyProtection="0"/>
    <xf numFmtId="0" fontId="28" fillId="52" borderId="12" applyNumberFormat="0" applyAlignment="0" applyProtection="0"/>
    <xf numFmtId="0" fontId="29" fillId="53" borderId="13" applyNumberFormat="0" applyAlignment="0" applyProtection="0"/>
    <xf numFmtId="0" fontId="30" fillId="0" borderId="0" applyNumberFormat="0" applyFill="0" applyBorder="0" applyAlignment="0" applyProtection="0"/>
    <xf numFmtId="0" fontId="31" fillId="36" borderId="0" applyNumberFormat="0" applyBorder="0" applyAlignment="0" applyProtection="0"/>
    <xf numFmtId="0" fontId="32" fillId="0" borderId="14" applyNumberFormat="0" applyFill="0" applyAlignment="0" applyProtection="0"/>
    <xf numFmtId="0" fontId="33" fillId="0" borderId="15" applyNumberFormat="0" applyFill="0" applyAlignment="0" applyProtection="0"/>
    <xf numFmtId="0" fontId="34" fillId="0" borderId="16" applyNumberFormat="0" applyFill="0" applyAlignment="0" applyProtection="0"/>
    <xf numFmtId="0" fontId="34" fillId="0" borderId="0" applyNumberFormat="0" applyFill="0" applyBorder="0" applyAlignment="0" applyProtection="0"/>
    <xf numFmtId="0" fontId="35" fillId="42" borderId="12" applyNumberFormat="0" applyAlignment="0" applyProtection="0"/>
    <xf numFmtId="0" fontId="36" fillId="0" borderId="17" applyNumberFormat="0" applyFill="0" applyAlignment="0" applyProtection="0"/>
    <xf numFmtId="0" fontId="37" fillId="54" borderId="0" applyNumberFormat="0" applyBorder="0" applyAlignment="0" applyProtection="0"/>
    <xf numFmtId="0" fontId="22" fillId="55" borderId="18" applyNumberFormat="0" applyFont="0" applyAlignment="0" applyProtection="0"/>
    <xf numFmtId="0" fontId="38" fillId="52" borderId="19" applyNumberFormat="0" applyAlignment="0" applyProtection="0"/>
    <xf numFmtId="0" fontId="39" fillId="0" borderId="0" applyNumberFormat="0" applyFill="0" applyBorder="0" applyAlignment="0" applyProtection="0"/>
    <xf numFmtId="0" fontId="40" fillId="0" borderId="20" applyNumberFormat="0" applyFill="0" applyAlignment="0" applyProtection="0"/>
    <xf numFmtId="0" fontId="41" fillId="0" borderId="0" applyNumberFormat="0" applyFill="0" applyBorder="0" applyAlignment="0" applyProtection="0"/>
    <xf numFmtId="0" fontId="18" fillId="0" borderId="0"/>
    <xf numFmtId="0" fontId="18" fillId="0" borderId="0"/>
    <xf numFmtId="0" fontId="1" fillId="0" borderId="0"/>
    <xf numFmtId="0" fontId="20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 applyNumberFormat="0" applyFill="0" applyBorder="0" applyProtection="0"/>
    <xf numFmtId="9" fontId="18" fillId="0" borderId="0" applyFont="0" applyFill="0" applyBorder="0" applyAlignment="0" applyProtection="0"/>
    <xf numFmtId="0" fontId="43" fillId="0" borderId="0"/>
    <xf numFmtId="0" fontId="44" fillId="0" borderId="0"/>
  </cellStyleXfs>
  <cellXfs count="62">
    <xf numFmtId="0" fontId="0" fillId="0" borderId="0" xfId="0"/>
    <xf numFmtId="0" fontId="0" fillId="0" borderId="0" xfId="0" applyAlignment="1">
      <alignment vertical="center"/>
    </xf>
    <xf numFmtId="0" fontId="51" fillId="0" borderId="0" xfId="0" applyFont="1" applyAlignment="1">
      <alignment vertical="center"/>
    </xf>
    <xf numFmtId="0" fontId="52" fillId="33" borderId="10" xfId="35" applyFont="1" applyFill="1" applyBorder="1" applyAlignment="1">
      <alignment horizontal="left" vertical="center"/>
    </xf>
    <xf numFmtId="0" fontId="52" fillId="33" borderId="10" xfId="35" applyFont="1" applyFill="1" applyBorder="1" applyAlignment="1">
      <alignment horizontal="left" vertical="center" wrapText="1"/>
    </xf>
    <xf numFmtId="0" fontId="53" fillId="33" borderId="10" xfId="35" applyFont="1" applyFill="1" applyBorder="1" applyAlignment="1">
      <alignment horizontal="left" vertical="center"/>
    </xf>
    <xf numFmtId="0" fontId="54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6" fillId="0" borderId="24" xfId="0" applyFont="1" applyBorder="1" applyAlignment="1">
      <alignment horizontal="left" wrapText="1"/>
    </xf>
    <xf numFmtId="2" fontId="46" fillId="0" borderId="22" xfId="0" applyNumberFormat="1" applyFont="1" applyBorder="1" applyAlignment="1">
      <alignment horizontal="left" vertical="center" wrapText="1"/>
    </xf>
    <xf numFmtId="2" fontId="46" fillId="0" borderId="23" xfId="0" applyNumberFormat="1" applyFont="1" applyBorder="1" applyAlignment="1">
      <alignment horizontal="left" vertical="center"/>
    </xf>
    <xf numFmtId="2" fontId="46" fillId="0" borderId="23" xfId="0" applyNumberFormat="1" applyFont="1" applyBorder="1" applyAlignment="1">
      <alignment horizontal="left" vertical="center" wrapText="1"/>
    </xf>
    <xf numFmtId="2" fontId="18" fillId="33" borderId="10" xfId="35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2" fontId="46" fillId="0" borderId="24" xfId="0" applyNumberFormat="1" applyFont="1" applyBorder="1" applyAlignment="1">
      <alignment horizontal="left" wrapText="1"/>
    </xf>
    <xf numFmtId="2" fontId="46" fillId="0" borderId="25" xfId="0" applyNumberFormat="1" applyFont="1" applyBorder="1" applyAlignment="1">
      <alignment horizontal="left" wrapText="1"/>
    </xf>
    <xf numFmtId="2" fontId="51" fillId="33" borderId="10" xfId="0" applyNumberFormat="1" applyFont="1" applyFill="1" applyBorder="1" applyAlignment="1">
      <alignment horizontal="left" vertical="center"/>
    </xf>
    <xf numFmtId="2" fontId="46" fillId="56" borderId="10" xfId="0" applyNumberFormat="1" applyFont="1" applyFill="1" applyBorder="1" applyAlignment="1">
      <alignment horizontal="left" vertical="center"/>
    </xf>
    <xf numFmtId="2" fontId="15" fillId="0" borderId="0" xfId="0" applyNumberFormat="1" applyFont="1" applyAlignment="1">
      <alignment horizontal="left"/>
    </xf>
    <xf numFmtId="2" fontId="19" fillId="33" borderId="10" xfId="36" applyNumberFormat="1" applyFont="1" applyFill="1" applyBorder="1" applyAlignment="1">
      <alignment horizontal="left" vertical="center"/>
    </xf>
    <xf numFmtId="2" fontId="19" fillId="33" borderId="10" xfId="37" applyNumberFormat="1" applyFont="1" applyFill="1" applyBorder="1" applyAlignment="1">
      <alignment horizontal="left" vertical="center"/>
    </xf>
    <xf numFmtId="2" fontId="19" fillId="33" borderId="10" xfId="35" applyNumberFormat="1" applyFont="1" applyFill="1" applyBorder="1" applyAlignment="1">
      <alignment horizontal="left" vertical="center"/>
    </xf>
    <xf numFmtId="2" fontId="19" fillId="33" borderId="10" xfId="80" applyNumberFormat="1" applyFont="1" applyFill="1" applyBorder="1" applyAlignment="1">
      <alignment horizontal="left" vertical="center"/>
    </xf>
    <xf numFmtId="2" fontId="45" fillId="33" borderId="10" xfId="0" applyNumberFormat="1" applyFont="1" applyFill="1" applyBorder="1" applyAlignment="1">
      <alignment horizontal="left" vertical="center"/>
    </xf>
    <xf numFmtId="2" fontId="19" fillId="33" borderId="10" xfId="0" applyNumberFormat="1" applyFont="1" applyFill="1" applyBorder="1" applyAlignment="1">
      <alignment horizontal="left" vertical="center"/>
    </xf>
    <xf numFmtId="2" fontId="24" fillId="33" borderId="10" xfId="0" applyNumberFormat="1" applyFont="1" applyFill="1" applyBorder="1" applyAlignment="1">
      <alignment horizontal="left"/>
    </xf>
    <xf numFmtId="2" fontId="24" fillId="33" borderId="10" xfId="95" applyNumberFormat="1" applyFont="1" applyFill="1" applyBorder="1" applyAlignment="1">
      <alignment horizontal="left" vertical="center"/>
    </xf>
    <xf numFmtId="2" fontId="19" fillId="33" borderId="10" xfId="95" applyNumberFormat="1" applyFont="1" applyFill="1" applyBorder="1" applyAlignment="1">
      <alignment horizontal="left" vertical="center"/>
    </xf>
    <xf numFmtId="2" fontId="24" fillId="33" borderId="10" xfId="0" applyNumberFormat="1" applyFont="1" applyFill="1" applyBorder="1" applyAlignment="1">
      <alignment horizontal="left" vertical="center"/>
    </xf>
    <xf numFmtId="2" fontId="24" fillId="33" borderId="10" xfId="0" applyNumberFormat="1" applyFont="1" applyFill="1" applyBorder="1" applyAlignment="1">
      <alignment horizontal="left" vertical="center" wrapText="1"/>
    </xf>
    <xf numFmtId="2" fontId="15" fillId="33" borderId="10" xfId="0" applyNumberFormat="1" applyFont="1" applyFill="1" applyBorder="1" applyAlignment="1">
      <alignment horizontal="left"/>
    </xf>
    <xf numFmtId="2" fontId="19" fillId="33" borderId="10" xfId="35" applyNumberFormat="1" applyFont="1" applyFill="1" applyBorder="1" applyAlignment="1">
      <alignment horizontal="left"/>
    </xf>
    <xf numFmtId="2" fontId="44" fillId="56" borderId="10" xfId="0" applyNumberFormat="1" applyFont="1" applyFill="1" applyBorder="1" applyAlignment="1">
      <alignment horizontal="left" vertical="center"/>
    </xf>
    <xf numFmtId="2" fontId="48" fillId="56" borderId="10" xfId="0" applyNumberFormat="1" applyFont="1" applyFill="1" applyBorder="1" applyAlignment="1">
      <alignment horizontal="left" vertical="center"/>
    </xf>
    <xf numFmtId="2" fontId="18" fillId="33" borderId="10" xfId="36" applyNumberFormat="1" applyFont="1" applyFill="1" applyBorder="1" applyAlignment="1">
      <alignment horizontal="left" vertical="center"/>
    </xf>
    <xf numFmtId="2" fontId="18" fillId="33" borderId="10" xfId="37" applyNumberFormat="1" applyFont="1" applyFill="1" applyBorder="1" applyAlignment="1">
      <alignment horizontal="left" vertical="center"/>
    </xf>
    <xf numFmtId="2" fontId="18" fillId="33" borderId="10" xfId="80" applyNumberFormat="1" applyFill="1" applyBorder="1" applyAlignment="1">
      <alignment horizontal="left" vertical="center"/>
    </xf>
    <xf numFmtId="2" fontId="47" fillId="33" borderId="10" xfId="0" applyNumberFormat="1" applyFont="1" applyFill="1" applyBorder="1" applyAlignment="1">
      <alignment horizontal="left" vertical="center"/>
    </xf>
    <xf numFmtId="2" fontId="23" fillId="33" borderId="10" xfId="0" applyNumberFormat="1" applyFont="1" applyFill="1" applyBorder="1" applyAlignment="1">
      <alignment horizontal="left" vertical="center"/>
    </xf>
    <xf numFmtId="2" fontId="23" fillId="33" borderId="10" xfId="0" applyNumberFormat="1" applyFont="1" applyFill="1" applyBorder="1" applyAlignment="1">
      <alignment horizontal="left"/>
    </xf>
    <xf numFmtId="2" fontId="23" fillId="33" borderId="10" xfId="95" applyNumberFormat="1" applyFont="1" applyFill="1" applyBorder="1" applyAlignment="1">
      <alignment horizontal="left" vertical="center"/>
    </xf>
    <xf numFmtId="2" fontId="46" fillId="56" borderId="21" xfId="0" applyNumberFormat="1" applyFont="1" applyFill="1" applyBorder="1" applyAlignment="1">
      <alignment horizontal="left" vertical="center"/>
    </xf>
    <xf numFmtId="2" fontId="44" fillId="56" borderId="21" xfId="0" applyNumberFormat="1" applyFont="1" applyFill="1" applyBorder="1" applyAlignment="1">
      <alignment horizontal="left" vertical="center"/>
    </xf>
    <xf numFmtId="2" fontId="23" fillId="56" borderId="10" xfId="95" applyNumberFormat="1" applyFont="1" applyFill="1" applyBorder="1" applyAlignment="1">
      <alignment horizontal="left" vertical="center"/>
    </xf>
    <xf numFmtId="2" fontId="24" fillId="56" borderId="10" xfId="95" applyNumberFormat="1" applyFont="1" applyFill="1" applyBorder="1" applyAlignment="1">
      <alignment horizontal="left" vertical="center"/>
    </xf>
    <xf numFmtId="2" fontId="24" fillId="56" borderId="10" xfId="0" applyNumberFormat="1" applyFont="1" applyFill="1" applyBorder="1" applyAlignment="1">
      <alignment horizontal="left" vertical="center"/>
    </xf>
    <xf numFmtId="2" fontId="23" fillId="0" borderId="10" xfId="0" applyNumberFormat="1" applyFont="1" applyBorder="1" applyAlignment="1">
      <alignment horizontal="left"/>
    </xf>
    <xf numFmtId="2" fontId="47" fillId="0" borderId="0" xfId="0" applyNumberFormat="1" applyFont="1" applyAlignment="1">
      <alignment horizontal="left" vertical="center"/>
    </xf>
    <xf numFmtId="2" fontId="19" fillId="33" borderId="10" xfId="38" applyNumberFormat="1" applyFont="1" applyFill="1" applyBorder="1" applyAlignment="1">
      <alignment horizontal="left" vertical="center"/>
    </xf>
    <xf numFmtId="2" fontId="19" fillId="57" borderId="10" xfId="0" applyNumberFormat="1" applyFont="1" applyFill="1" applyBorder="1" applyAlignment="1">
      <alignment horizontal="left"/>
    </xf>
    <xf numFmtId="2" fontId="19" fillId="57" borderId="11" xfId="0" applyNumberFormat="1" applyFont="1" applyFill="1" applyBorder="1" applyAlignment="1">
      <alignment horizontal="left"/>
    </xf>
    <xf numFmtId="2" fontId="49" fillId="33" borderId="10" xfId="38" applyNumberFormat="1" applyFont="1" applyFill="1" applyBorder="1" applyAlignment="1">
      <alignment horizontal="left" vertical="center"/>
    </xf>
    <xf numFmtId="2" fontId="18" fillId="33" borderId="10" xfId="0" applyNumberFormat="1" applyFont="1" applyFill="1" applyBorder="1" applyAlignment="1">
      <alignment horizontal="left" vertical="center"/>
    </xf>
    <xf numFmtId="2" fontId="55" fillId="0" borderId="11" xfId="0" applyNumberFormat="1" applyFont="1" applyBorder="1" applyAlignment="1">
      <alignment horizontal="left"/>
    </xf>
    <xf numFmtId="2" fontId="19" fillId="58" borderId="11" xfId="0" applyNumberFormat="1" applyFont="1" applyFill="1" applyBorder="1" applyAlignment="1">
      <alignment horizontal="left"/>
    </xf>
    <xf numFmtId="2" fontId="55" fillId="33" borderId="11" xfId="0" applyNumberFormat="1" applyFont="1" applyFill="1" applyBorder="1" applyAlignment="1">
      <alignment horizontal="left"/>
    </xf>
    <xf numFmtId="2" fontId="50" fillId="33" borderId="10" xfId="38" applyNumberFormat="1" applyFont="1" applyFill="1" applyBorder="1" applyAlignment="1">
      <alignment horizontal="left" vertical="center"/>
    </xf>
    <xf numFmtId="2" fontId="0" fillId="0" borderId="0" xfId="0" applyNumberFormat="1" applyAlignment="1">
      <alignment vertical="center"/>
    </xf>
    <xf numFmtId="2" fontId="15" fillId="0" borderId="0" xfId="0" applyNumberFormat="1" applyFont="1" applyAlignment="1">
      <alignment horizontal="left" vertical="center"/>
    </xf>
    <xf numFmtId="2" fontId="46" fillId="0" borderId="0" xfId="0" applyNumberFormat="1" applyFont="1" applyAlignment="1">
      <alignment horizontal="left" wrapText="1"/>
    </xf>
    <xf numFmtId="0" fontId="56" fillId="33" borderId="10" xfId="0" applyFont="1" applyFill="1" applyBorder="1" applyAlignment="1">
      <alignment horizontal="left" vertical="center"/>
    </xf>
    <xf numFmtId="0" fontId="57" fillId="0" borderId="0" xfId="0" applyFont="1" applyAlignment="1">
      <alignment vertical="center"/>
    </xf>
  </cellXfs>
  <cellStyles count="97">
    <cellStyle name="20% - Accent1" xfId="18" builtinId="30" customBuiltin="1"/>
    <cellStyle name="20% - Accent1 2" xfId="39" xr:uid="{70C2CF8C-B913-4006-A682-2CD96FC95216}"/>
    <cellStyle name="20% - Accent2" xfId="21" builtinId="34" customBuiltin="1"/>
    <cellStyle name="20% - Accent2 2" xfId="40" xr:uid="{7AFA09D9-B4E4-4295-94A9-2908664940ED}"/>
    <cellStyle name="20% - Accent3" xfId="24" builtinId="38" customBuiltin="1"/>
    <cellStyle name="20% - Accent3 2" xfId="41" xr:uid="{1447C636-9CAB-401B-984B-772A2F30E976}"/>
    <cellStyle name="20% - Accent4" xfId="27" builtinId="42" customBuiltin="1"/>
    <cellStyle name="20% - Accent4 2" xfId="42" xr:uid="{7CE6C061-3954-4998-BB80-2E1787386F9C}"/>
    <cellStyle name="20% - Accent5" xfId="30" builtinId="46" customBuiltin="1"/>
    <cellStyle name="20% - Accent5 2" xfId="43" xr:uid="{9B2C8CE4-121A-4331-B5C3-A60213AA361F}"/>
    <cellStyle name="20% - Accent6" xfId="33" builtinId="50" customBuiltin="1"/>
    <cellStyle name="20% - Accent6 2" xfId="44" xr:uid="{360E5E11-0E2A-4A61-BC84-38CB88007BDC}"/>
    <cellStyle name="40% - Accent1" xfId="19" builtinId="31" customBuiltin="1"/>
    <cellStyle name="40% - Accent1 2" xfId="45" xr:uid="{2A8EEA59-6BF9-41D2-BF3A-ECEB5FA0AC8E}"/>
    <cellStyle name="40% - Accent2" xfId="22" builtinId="35" customBuiltin="1"/>
    <cellStyle name="40% - Accent2 2" xfId="46" xr:uid="{AF33604D-9F76-4855-A7F0-F00CCBA6637A}"/>
    <cellStyle name="40% - Accent3" xfId="25" builtinId="39" customBuiltin="1"/>
    <cellStyle name="40% - Accent3 2" xfId="47" xr:uid="{366AF776-C2AA-4314-82F1-39DDF6535BEB}"/>
    <cellStyle name="40% - Accent4" xfId="28" builtinId="43" customBuiltin="1"/>
    <cellStyle name="40% - Accent4 2" xfId="48" xr:uid="{22774AD9-3446-4A8B-9806-41BD9CA5F25D}"/>
    <cellStyle name="40% - Accent5" xfId="31" builtinId="47" customBuiltin="1"/>
    <cellStyle name="40% - Accent5 2" xfId="49" xr:uid="{A4AE7C45-6F8A-4C52-A509-F660DC9BD5D7}"/>
    <cellStyle name="40% - Accent6" xfId="34" builtinId="51" customBuiltin="1"/>
    <cellStyle name="40% - Accent6 2" xfId="50" xr:uid="{0442C44A-0D34-4CA7-9C01-4EC75421AE85}"/>
    <cellStyle name="60% - Accent1 2" xfId="51" xr:uid="{DDB6EC62-4581-4D4B-AB13-219B347144B1}"/>
    <cellStyle name="60% - Accent1 3" xfId="84" xr:uid="{934899F2-B9ED-4B54-8867-B8A8D72A7726}"/>
    <cellStyle name="60% - Accent2 2" xfId="52" xr:uid="{98D55BA2-52AD-47E2-90BD-E2556C682BF9}"/>
    <cellStyle name="60% - Accent2 3" xfId="85" xr:uid="{C11DA24E-74BF-4064-A554-97AA30826EDE}"/>
    <cellStyle name="60% - Accent3 2" xfId="53" xr:uid="{DEB699FE-9DB1-45B2-893D-100D4F63D25E}"/>
    <cellStyle name="60% - Accent3 3" xfId="86" xr:uid="{B51A6014-DA44-4615-B052-EBDE0A22ECC6}"/>
    <cellStyle name="60% - Accent4 2" xfId="54" xr:uid="{365DCFAA-7298-4B43-A6D1-8DF9283D265F}"/>
    <cellStyle name="60% - Accent4 3" xfId="87" xr:uid="{B13EB8F9-0C33-48B8-9BDC-1EBBE6F53653}"/>
    <cellStyle name="60% - Accent5 2" xfId="55" xr:uid="{BA327052-6B4A-4C3B-BD81-8E80B5835E74}"/>
    <cellStyle name="60% - Accent5 3" xfId="88" xr:uid="{00541E91-B736-4F10-8E6A-6078B1DED898}"/>
    <cellStyle name="60% - Accent6 2" xfId="56" xr:uid="{C9D4B084-8093-43B8-9C59-A0F8FF718869}"/>
    <cellStyle name="60% - Accent6 3" xfId="89" xr:uid="{5BDC5ECB-C689-4ECB-9D74-68C7914E343D}"/>
    <cellStyle name="Accent1" xfId="17" builtinId="29" customBuiltin="1"/>
    <cellStyle name="Accent1 2" xfId="57" xr:uid="{857DF945-D2D4-4A12-B094-DD940E68167D}"/>
    <cellStyle name="Accent2" xfId="20" builtinId="33" customBuiltin="1"/>
    <cellStyle name="Accent2 2" xfId="58" xr:uid="{0B0E50E8-2951-437C-A9EC-618A9C5150B7}"/>
    <cellStyle name="Accent3" xfId="23" builtinId="37" customBuiltin="1"/>
    <cellStyle name="Accent3 2" xfId="59" xr:uid="{18D3BCBE-5B26-49C5-A934-A1E9BE240DC1}"/>
    <cellStyle name="Accent4" xfId="26" builtinId="41" customBuiltin="1"/>
    <cellStyle name="Accent4 2" xfId="60" xr:uid="{DE46E00B-C7B9-4E73-A65B-FAC67B007B3B}"/>
    <cellStyle name="Accent5" xfId="29" builtinId="45" customBuiltin="1"/>
    <cellStyle name="Accent5 2" xfId="61" xr:uid="{97C4275C-0283-4272-BADA-B95D981C2CB7}"/>
    <cellStyle name="Accent6" xfId="32" builtinId="49" customBuiltin="1"/>
    <cellStyle name="Accent6 2" xfId="62" xr:uid="{42E5ED57-134F-49EA-AAA4-9EC38C5FEA78}"/>
    <cellStyle name="Bad" xfId="7" builtinId="27" customBuiltin="1"/>
    <cellStyle name="Bad 2" xfId="63" xr:uid="{58D9D508-B8DD-4D5B-8FA4-28475904E8DD}"/>
    <cellStyle name="Calculation" xfId="10" builtinId="22" customBuiltin="1"/>
    <cellStyle name="Calculation 2" xfId="64" xr:uid="{928460FA-259A-40EF-86DC-646CA5342E30}"/>
    <cellStyle name="Check Cell" xfId="12" builtinId="23" customBuiltin="1"/>
    <cellStyle name="Check Cell 2" xfId="65" xr:uid="{75EC306B-F66B-40D9-BB79-251279D7D965}"/>
    <cellStyle name="Comma 2" xfId="36" xr:uid="{30DCBDA6-4D7D-4E02-AEA0-03BFDD02E73F}"/>
    <cellStyle name="Explanatory Text" xfId="15" builtinId="53" customBuiltin="1"/>
    <cellStyle name="Explanatory Text 2" xfId="66" xr:uid="{51B719B1-0AE1-49C0-B49C-DC3F9DE39FFF}"/>
    <cellStyle name="Good" xfId="6" builtinId="26" customBuiltin="1"/>
    <cellStyle name="Good 2" xfId="67" xr:uid="{296CD159-BA05-4246-8B5E-EB61BF6C831D}"/>
    <cellStyle name="Heading 1" xfId="2" builtinId="16" customBuiltin="1"/>
    <cellStyle name="Heading 1 2" xfId="68" xr:uid="{F8DCEC66-0655-4663-992F-3EAF8DEE5311}"/>
    <cellStyle name="Heading 2" xfId="3" builtinId="17" customBuiltin="1"/>
    <cellStyle name="Heading 2 2" xfId="69" xr:uid="{414F8021-8F40-4F85-B523-9C8607901337}"/>
    <cellStyle name="Heading 3" xfId="4" builtinId="18" customBuiltin="1"/>
    <cellStyle name="Heading 3 2" xfId="70" xr:uid="{EBF6F682-19B7-4E42-B13A-54E82B7F1E9F}"/>
    <cellStyle name="Heading 4" xfId="5" builtinId="19" customBuiltin="1"/>
    <cellStyle name="Heading 4 2" xfId="71" xr:uid="{6C226AD8-DA45-4E46-AC1E-2BB593D16668}"/>
    <cellStyle name="Input" xfId="8" builtinId="20" customBuiltin="1"/>
    <cellStyle name="Input 2" xfId="72" xr:uid="{C9C4E9E4-F074-4CB8-95E7-CCDB82CFC455}"/>
    <cellStyle name="Linked Cell" xfId="11" builtinId="24" customBuiltin="1"/>
    <cellStyle name="Linked Cell 2" xfId="73" xr:uid="{93388B3E-5B63-4C48-A75D-1062D1F8FAAC}"/>
    <cellStyle name="Neutral 2" xfId="74" xr:uid="{8556B3B5-DC29-42C9-A7DF-0BB97C756F32}"/>
    <cellStyle name="Neutral 3" xfId="83" xr:uid="{6F1D23A0-D310-4023-8929-E5DFE8D2F88A}"/>
    <cellStyle name="Normal" xfId="0" builtinId="0"/>
    <cellStyle name="Normal 2" xfId="35" xr:uid="{7A562CA8-07CE-4110-97A7-97D5A77BD6F5}"/>
    <cellStyle name="Normal 2 2" xfId="81" xr:uid="{4C4DAB7D-FBCE-4EEE-ACD1-CFDA843242DE}"/>
    <cellStyle name="Normal 3" xfId="37" xr:uid="{F457D257-BC77-49AA-9C03-AC19DE564AC9}"/>
    <cellStyle name="Normal 3 2" xfId="90" xr:uid="{A0906202-D130-471D-83A5-AC568C32F10E}"/>
    <cellStyle name="Normal 3 3" xfId="82" xr:uid="{257F2E67-6CD4-490E-8C2C-890CE658F9F0}"/>
    <cellStyle name="Normal 4" xfId="38" xr:uid="{61A80056-7856-4DEB-ACD6-BB9C990FEB4D}"/>
    <cellStyle name="Normal 4 2" xfId="92" xr:uid="{4A7F0449-9C55-4EA4-98AE-EF57EBE50489}"/>
    <cellStyle name="Normal 5" xfId="80" xr:uid="{12F5BD58-3625-4CEE-AEB1-9370BBA503F2}"/>
    <cellStyle name="Normal 5 2" xfId="96" xr:uid="{CC2EF979-C0A4-472E-9688-DBA388C86322}"/>
    <cellStyle name="Normal 6" xfId="93" xr:uid="{63AC7A3E-DA11-4F8E-94CE-02F3B3E3E0E6}"/>
    <cellStyle name="Normal 7" xfId="95" xr:uid="{D633A4E1-A289-416D-8B61-F582874D352D}"/>
    <cellStyle name="Note" xfId="14" builtinId="10" customBuiltin="1"/>
    <cellStyle name="Note 2" xfId="75" xr:uid="{196A1DE8-8039-4364-8BDD-43686FD6823D}"/>
    <cellStyle name="Output" xfId="9" builtinId="21" customBuiltin="1"/>
    <cellStyle name="Output 2" xfId="76" xr:uid="{026419DF-5C88-4631-BE5D-88BC878C4826}"/>
    <cellStyle name="Percent 2" xfId="91" xr:uid="{31463978-A635-48FD-898C-0468D384ECDF}"/>
    <cellStyle name="Percent 3" xfId="94" xr:uid="{BE02E526-0B0D-4D5A-95B5-6AEB5E4F955A}"/>
    <cellStyle name="Title" xfId="1" builtinId="15" customBuiltin="1"/>
    <cellStyle name="Title 2" xfId="77" xr:uid="{2FCCC7D9-21E9-48F3-A9B2-46CFDEDA83B2}"/>
    <cellStyle name="Total" xfId="16" builtinId="25" customBuiltin="1"/>
    <cellStyle name="Total 2" xfId="78" xr:uid="{78D30C6A-2CFD-4641-B9A0-32EBE8DC4265}"/>
    <cellStyle name="Warning Text" xfId="13" builtinId="11" customBuiltin="1"/>
    <cellStyle name="Warning Text 2" xfId="79" xr:uid="{E02F81AB-E727-4DB0-ACAB-129F987A2BC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2D1E-0B67-4AEE-A618-6FD860610B92}">
  <dimension ref="A1:AD86"/>
  <sheetViews>
    <sheetView tabSelected="1" zoomScale="85" zoomScaleNormal="85" workbookViewId="0">
      <selection activeCell="A4" sqref="A4"/>
    </sheetView>
  </sheetViews>
  <sheetFormatPr defaultRowHeight="16" x14ac:dyDescent="0.35"/>
  <cols>
    <col min="1" max="1" width="76.6328125" style="6" bestFit="1" customWidth="1"/>
    <col min="2" max="4" width="20.54296875" style="1" bestFit="1" customWidth="1"/>
    <col min="5" max="14" width="20.7265625" style="1" bestFit="1" customWidth="1"/>
    <col min="15" max="26" width="21.90625" style="1" bestFit="1" customWidth="1"/>
    <col min="27" max="27" width="15.7265625" style="1" bestFit="1" customWidth="1"/>
    <col min="28" max="28" width="10.36328125" style="1" bestFit="1" customWidth="1"/>
    <col min="29" max="29" width="11.36328125" style="1" bestFit="1" customWidth="1"/>
    <col min="30" max="16384" width="8.7265625" style="1"/>
  </cols>
  <sheetData>
    <row r="1" spans="1:27" s="2" customFormat="1" x14ac:dyDescent="0.35">
      <c r="A1" s="60" t="s">
        <v>75</v>
      </c>
      <c r="B1" s="16">
        <v>2000</v>
      </c>
      <c r="C1" s="16">
        <v>2001</v>
      </c>
      <c r="D1" s="16">
        <v>2002</v>
      </c>
      <c r="E1" s="16">
        <v>2003</v>
      </c>
      <c r="F1" s="16">
        <v>2004</v>
      </c>
      <c r="G1" s="16">
        <v>2005</v>
      </c>
      <c r="H1" s="16">
        <v>2006</v>
      </c>
      <c r="I1" s="16">
        <v>2007</v>
      </c>
      <c r="J1" s="16">
        <v>2008</v>
      </c>
      <c r="K1" s="16">
        <v>2009</v>
      </c>
      <c r="L1" s="16">
        <v>2010</v>
      </c>
      <c r="M1" s="16">
        <v>2011</v>
      </c>
      <c r="N1" s="16">
        <v>2012</v>
      </c>
      <c r="O1" s="16">
        <v>2013</v>
      </c>
      <c r="P1" s="16">
        <v>2014</v>
      </c>
      <c r="Q1" s="16">
        <v>2015</v>
      </c>
      <c r="R1" s="16">
        <v>2016</v>
      </c>
      <c r="S1" s="16">
        <v>2017</v>
      </c>
      <c r="T1" s="16">
        <v>2018</v>
      </c>
      <c r="U1" s="16">
        <v>2019</v>
      </c>
      <c r="V1" s="16">
        <v>2020</v>
      </c>
      <c r="W1" s="16">
        <v>2021</v>
      </c>
      <c r="X1" s="16">
        <v>2022</v>
      </c>
      <c r="Y1" s="16">
        <v>2023</v>
      </c>
      <c r="Z1" s="16">
        <v>2024</v>
      </c>
      <c r="AA1" s="16">
        <v>2025</v>
      </c>
    </row>
    <row r="2" spans="1:27" ht="15.5" x14ac:dyDescent="0.35">
      <c r="A2" s="3" t="s">
        <v>0</v>
      </c>
      <c r="B2" s="17">
        <v>398205</v>
      </c>
      <c r="C2" s="17">
        <v>467206</v>
      </c>
      <c r="D2" s="17">
        <v>535063</v>
      </c>
      <c r="E2" s="17">
        <v>668576</v>
      </c>
      <c r="F2" s="17">
        <v>763855</v>
      </c>
      <c r="G2" s="18">
        <f>SUM(B3:B4)</f>
        <v>398205</v>
      </c>
      <c r="H2" s="18">
        <f>SUM(H3:H4)</f>
        <v>1448636</v>
      </c>
      <c r="I2" s="18">
        <f>SUM(I3:I4)</f>
        <v>1842975</v>
      </c>
      <c r="J2" s="18">
        <f>SUM(J3:J4)</f>
        <v>2361577.5946999998</v>
      </c>
      <c r="K2" s="18">
        <f>SUM(H3:H4)</f>
        <v>1448636</v>
      </c>
      <c r="L2" s="19">
        <v>3371551</v>
      </c>
      <c r="M2" s="20">
        <v>3950275</v>
      </c>
      <c r="N2" s="21">
        <v>4660999</v>
      </c>
      <c r="O2" s="21">
        <v>5323631</v>
      </c>
      <c r="P2" s="22">
        <v>5902000</v>
      </c>
      <c r="Q2" s="23">
        <v>6346586</v>
      </c>
      <c r="R2" s="23">
        <v>6599435.0000000009</v>
      </c>
      <c r="S2" s="23">
        <v>7150144</v>
      </c>
      <c r="T2" s="24">
        <v>8165199.4600000009</v>
      </c>
      <c r="U2" s="24">
        <v>8764913.0600000005</v>
      </c>
      <c r="V2" s="25">
        <v>9286902</v>
      </c>
      <c r="W2" s="26">
        <v>11162246.719999999</v>
      </c>
      <c r="X2" s="27">
        <v>12947734.84</v>
      </c>
      <c r="Y2" s="28">
        <v>15620554.299999999</v>
      </c>
      <c r="Z2" s="29">
        <v>17509170.963932056</v>
      </c>
      <c r="AA2" s="29">
        <v>19527313.067769971</v>
      </c>
    </row>
    <row r="3" spans="1:27" ht="15.5" x14ac:dyDescent="0.3">
      <c r="A3" s="3" t="s">
        <v>1</v>
      </c>
      <c r="B3" s="21">
        <f>B2-B4</f>
        <v>23078</v>
      </c>
      <c r="C3" s="21">
        <f>C2-C4</f>
        <v>38044</v>
      </c>
      <c r="D3" s="21">
        <f>D2-D4</f>
        <v>52314</v>
      </c>
      <c r="E3" s="21">
        <f>E2-E4</f>
        <v>48521</v>
      </c>
      <c r="F3" s="21">
        <f>F2-F4</f>
        <v>35433</v>
      </c>
      <c r="G3" s="21">
        <v>37241</v>
      </c>
      <c r="H3" s="21">
        <v>43796</v>
      </c>
      <c r="I3" s="21">
        <v>41735</v>
      </c>
      <c r="J3" s="21">
        <v>44063</v>
      </c>
      <c r="K3" s="21">
        <v>56575</v>
      </c>
      <c r="L3" s="19">
        <v>56248</v>
      </c>
      <c r="M3" s="20">
        <v>77890</v>
      </c>
      <c r="N3" s="21">
        <v>105769</v>
      </c>
      <c r="O3" s="21">
        <v>100676</v>
      </c>
      <c r="P3" s="22">
        <v>105800</v>
      </c>
      <c r="Q3" s="23">
        <v>106936.99999999999</v>
      </c>
      <c r="R3" s="23">
        <v>63200</v>
      </c>
      <c r="S3" s="23">
        <v>35606</v>
      </c>
      <c r="T3" s="24">
        <v>72060.460000000006</v>
      </c>
      <c r="U3" s="24">
        <v>91005.06</v>
      </c>
      <c r="V3" s="25">
        <v>88662.439999999988</v>
      </c>
      <c r="W3" s="26">
        <v>82415.320000000007</v>
      </c>
      <c r="X3" s="27">
        <v>52239.83</v>
      </c>
      <c r="Y3" s="28">
        <v>40260.639999999999</v>
      </c>
      <c r="Z3" s="29">
        <v>51254</v>
      </c>
      <c r="AA3" s="29">
        <v>79801.03</v>
      </c>
    </row>
    <row r="4" spans="1:27" ht="15.5" x14ac:dyDescent="0.35">
      <c r="A4" s="3" t="s">
        <v>81</v>
      </c>
      <c r="B4" s="17">
        <v>375127</v>
      </c>
      <c r="C4" s="17">
        <v>429162</v>
      </c>
      <c r="D4" s="17">
        <v>482749</v>
      </c>
      <c r="E4" s="17">
        <v>620055</v>
      </c>
      <c r="F4" s="17">
        <v>728422</v>
      </c>
      <c r="G4" s="17">
        <v>999788</v>
      </c>
      <c r="H4" s="17">
        <v>1404840</v>
      </c>
      <c r="I4" s="17">
        <v>1801240</v>
      </c>
      <c r="J4" s="17">
        <v>2317514.5946999998</v>
      </c>
      <c r="K4" s="17">
        <v>2729338.3544999999</v>
      </c>
      <c r="L4" s="19">
        <v>3315303</v>
      </c>
      <c r="M4" s="20">
        <v>3872386</v>
      </c>
      <c r="N4" s="21">
        <v>4555229</v>
      </c>
      <c r="O4" s="21">
        <v>5222955</v>
      </c>
      <c r="P4" s="22">
        <v>5796195</v>
      </c>
      <c r="Q4" s="23">
        <v>6239650</v>
      </c>
      <c r="R4" s="23">
        <v>6536235</v>
      </c>
      <c r="S4" s="23">
        <v>7114539</v>
      </c>
      <c r="T4" s="23">
        <v>8093139</v>
      </c>
      <c r="U4" s="28">
        <v>8673908</v>
      </c>
      <c r="V4" s="30">
        <v>9198240</v>
      </c>
      <c r="W4" s="26">
        <v>11079831.399999999</v>
      </c>
      <c r="X4" s="27">
        <v>12895495.01</v>
      </c>
      <c r="Y4" s="28">
        <v>15580293.659999998</v>
      </c>
      <c r="Z4" s="29">
        <v>17457916.963932056</v>
      </c>
      <c r="AA4" s="29">
        <v>19447512.03776997</v>
      </c>
    </row>
    <row r="5" spans="1:27" ht="15.5" x14ac:dyDescent="0.35">
      <c r="A5" s="3" t="s">
        <v>2</v>
      </c>
      <c r="B5" s="17">
        <v>44381</v>
      </c>
      <c r="C5" s="17">
        <v>51922</v>
      </c>
      <c r="D5" s="17">
        <v>60761</v>
      </c>
      <c r="E5" s="17">
        <v>73518</v>
      </c>
      <c r="F5" s="17">
        <v>90541</v>
      </c>
      <c r="G5" s="17">
        <v>125250</v>
      </c>
      <c r="H5" s="17">
        <v>173972</v>
      </c>
      <c r="I5" s="17">
        <v>230377</v>
      </c>
      <c r="J5" s="17">
        <v>275343</v>
      </c>
      <c r="K5" s="17">
        <v>338656</v>
      </c>
      <c r="L5" s="19">
        <v>411816</v>
      </c>
      <c r="M5" s="20">
        <v>441841</v>
      </c>
      <c r="N5" s="21">
        <v>559213</v>
      </c>
      <c r="O5" s="21">
        <v>620645</v>
      </c>
      <c r="P5" s="22">
        <v>745988</v>
      </c>
      <c r="Q5" s="23">
        <v>826041</v>
      </c>
      <c r="R5" s="23">
        <v>911228.00000000012</v>
      </c>
      <c r="S5" s="23">
        <v>988214</v>
      </c>
      <c r="T5" s="23">
        <v>1064753</v>
      </c>
      <c r="U5" s="28">
        <v>1134004</v>
      </c>
      <c r="V5" s="30">
        <v>1230526</v>
      </c>
      <c r="W5" s="26">
        <v>1344128.8052659801</v>
      </c>
      <c r="X5" s="26">
        <v>1595184.96147898</v>
      </c>
      <c r="Y5" s="28">
        <v>1931215.3113493</v>
      </c>
      <c r="Z5" s="28">
        <v>2223467.2218980002</v>
      </c>
      <c r="AA5" s="28">
        <v>2417050.221961</v>
      </c>
    </row>
    <row r="6" spans="1:27" ht="15.5" x14ac:dyDescent="0.35">
      <c r="A6" s="4" t="s">
        <v>3</v>
      </c>
      <c r="B6" s="25">
        <f t="shared" ref="B6:I6" si="0">SUM(B7:B8)</f>
        <v>200133</v>
      </c>
      <c r="C6" s="25">
        <f t="shared" si="0"/>
        <v>203321</v>
      </c>
      <c r="D6" s="25">
        <f t="shared" si="0"/>
        <v>204518</v>
      </c>
      <c r="E6" s="25">
        <f t="shared" si="0"/>
        <v>207713</v>
      </c>
      <c r="F6" s="25">
        <f t="shared" si="0"/>
        <v>213174</v>
      </c>
      <c r="G6" s="31">
        <f t="shared" si="0"/>
        <v>221907</v>
      </c>
      <c r="H6" s="31">
        <f t="shared" si="0"/>
        <v>238531</v>
      </c>
      <c r="I6" s="31">
        <f t="shared" si="0"/>
        <v>265229</v>
      </c>
      <c r="J6" s="17">
        <v>858344</v>
      </c>
      <c r="K6" s="17">
        <v>1054390</v>
      </c>
      <c r="L6" s="19">
        <v>1465477</v>
      </c>
      <c r="M6" s="20">
        <v>1771183</v>
      </c>
      <c r="N6" s="21">
        <v>2086946</v>
      </c>
      <c r="O6" s="21">
        <v>2372334</v>
      </c>
      <c r="P6" s="22">
        <v>2545211</v>
      </c>
      <c r="Q6" s="23">
        <v>2668679</v>
      </c>
      <c r="R6" s="23">
        <v>2579262</v>
      </c>
      <c r="S6" s="23">
        <v>2604103</v>
      </c>
      <c r="T6" s="23">
        <v>2708396</v>
      </c>
      <c r="U6" s="28">
        <v>2772248</v>
      </c>
      <c r="V6" s="30">
        <v>2753281</v>
      </c>
      <c r="W6" s="26">
        <v>2865403.0269359602</v>
      </c>
      <c r="X6" s="26">
        <v>3294513.9428014001</v>
      </c>
      <c r="Y6" s="28">
        <v>3600875.6398343202</v>
      </c>
      <c r="Z6" s="28">
        <v>3813093.6702399999</v>
      </c>
      <c r="AA6" s="28">
        <v>4219432.9901590003</v>
      </c>
    </row>
    <row r="7" spans="1:27" ht="15.5" x14ac:dyDescent="0.25">
      <c r="A7" s="5" t="s">
        <v>4</v>
      </c>
      <c r="B7" s="32">
        <v>52814</v>
      </c>
      <c r="C7" s="32">
        <v>56002</v>
      </c>
      <c r="D7" s="32">
        <v>57199</v>
      </c>
      <c r="E7" s="32">
        <v>60394</v>
      </c>
      <c r="F7" s="32">
        <v>65855</v>
      </c>
      <c r="G7" s="32">
        <v>74588</v>
      </c>
      <c r="H7" s="32">
        <v>91212</v>
      </c>
      <c r="I7" s="32">
        <v>117910</v>
      </c>
      <c r="J7" s="33">
        <v>132698</v>
      </c>
      <c r="K7" s="33">
        <v>168997</v>
      </c>
      <c r="L7" s="34">
        <v>215635</v>
      </c>
      <c r="M7" s="35">
        <v>244825</v>
      </c>
      <c r="N7" s="12">
        <v>256888</v>
      </c>
      <c r="O7" s="12">
        <v>314504</v>
      </c>
      <c r="P7" s="36">
        <v>358880</v>
      </c>
      <c r="Q7" s="37">
        <v>372207</v>
      </c>
      <c r="R7" s="37">
        <v>343493</v>
      </c>
      <c r="S7" s="37">
        <v>359196</v>
      </c>
      <c r="T7" s="37">
        <v>362976</v>
      </c>
      <c r="U7" s="38">
        <v>362758</v>
      </c>
      <c r="V7" s="39">
        <v>364515</v>
      </c>
      <c r="W7" s="40">
        <v>410645.57918719499</v>
      </c>
      <c r="X7" s="40">
        <v>556126.66535364406</v>
      </c>
      <c r="Y7" s="38">
        <v>689502.42273232702</v>
      </c>
      <c r="Z7" s="38">
        <v>757299.51265799999</v>
      </c>
      <c r="AA7" s="38">
        <v>952302.48117000004</v>
      </c>
    </row>
    <row r="8" spans="1:27" ht="15.5" x14ac:dyDescent="0.25">
      <c r="A8" s="5" t="s">
        <v>5</v>
      </c>
      <c r="B8" s="32">
        <v>147319</v>
      </c>
      <c r="C8" s="32">
        <v>147319</v>
      </c>
      <c r="D8" s="32">
        <v>147319</v>
      </c>
      <c r="E8" s="32">
        <v>147319</v>
      </c>
      <c r="F8" s="32">
        <v>147319</v>
      </c>
      <c r="G8" s="32">
        <v>147319</v>
      </c>
      <c r="H8" s="32">
        <v>147319</v>
      </c>
      <c r="I8" s="32">
        <v>147319</v>
      </c>
      <c r="J8" s="33">
        <v>110800</v>
      </c>
      <c r="K8" s="33">
        <v>122155</v>
      </c>
      <c r="L8" s="34">
        <v>153227</v>
      </c>
      <c r="M8" s="35">
        <v>197181</v>
      </c>
      <c r="N8" s="12">
        <v>130241.00000000001</v>
      </c>
      <c r="O8" s="12">
        <v>123615.00000000001</v>
      </c>
      <c r="P8" s="36">
        <v>125798</v>
      </c>
      <c r="Q8" s="37">
        <v>114815.00000000001</v>
      </c>
      <c r="R8" s="37">
        <v>103260.99999999999</v>
      </c>
      <c r="S8" s="37">
        <v>94695</v>
      </c>
      <c r="T8" s="37">
        <v>105113.00000000001</v>
      </c>
      <c r="U8" s="38">
        <v>102601</v>
      </c>
      <c r="V8" s="39">
        <v>124028</v>
      </c>
      <c r="W8" s="40">
        <v>183668.45408079901</v>
      </c>
      <c r="X8" s="40">
        <v>224623.802328255</v>
      </c>
      <c r="Y8" s="38">
        <v>283774.05030428199</v>
      </c>
      <c r="Z8" s="38">
        <v>340525.23071799998</v>
      </c>
      <c r="AA8" s="38">
        <v>397098.35644</v>
      </c>
    </row>
    <row r="9" spans="1:27" ht="15.5" x14ac:dyDescent="0.25">
      <c r="A9" s="5" t="s">
        <v>6</v>
      </c>
      <c r="B9" s="12">
        <v>0</v>
      </c>
      <c r="C9" s="12"/>
      <c r="D9" s="12"/>
      <c r="E9" s="12"/>
      <c r="F9" s="12"/>
      <c r="G9" s="12"/>
      <c r="H9" s="12"/>
      <c r="I9" s="12"/>
      <c r="J9" s="33">
        <v>614846</v>
      </c>
      <c r="K9" s="33">
        <v>763238</v>
      </c>
      <c r="L9" s="34">
        <v>1096616</v>
      </c>
      <c r="M9" s="35">
        <v>1329177</v>
      </c>
      <c r="N9" s="12">
        <v>1699816</v>
      </c>
      <c r="O9" s="12">
        <v>1934215.0000000002</v>
      </c>
      <c r="P9" s="36">
        <v>2060534</v>
      </c>
      <c r="Q9" s="37">
        <v>2181657</v>
      </c>
      <c r="R9" s="37">
        <v>2132508</v>
      </c>
      <c r="S9" s="37">
        <v>2150212</v>
      </c>
      <c r="T9" s="37">
        <v>2240306</v>
      </c>
      <c r="U9" s="38">
        <v>2306889</v>
      </c>
      <c r="V9" s="39">
        <v>2264738</v>
      </c>
      <c r="W9" s="40">
        <v>2271088.9936679602</v>
      </c>
      <c r="X9" s="40">
        <v>2513763.4751195</v>
      </c>
      <c r="Y9" s="38">
        <v>2627599.1667977199</v>
      </c>
      <c r="Z9" s="38">
        <v>2715268.926864</v>
      </c>
      <c r="AA9" s="38">
        <v>2870032.152549</v>
      </c>
    </row>
    <row r="10" spans="1:27" ht="15.5" x14ac:dyDescent="0.35">
      <c r="A10" s="3" t="s">
        <v>7</v>
      </c>
      <c r="B10" s="41">
        <v>16818</v>
      </c>
      <c r="C10" s="41">
        <v>17845</v>
      </c>
      <c r="D10" s="41">
        <v>20459</v>
      </c>
      <c r="E10" s="41">
        <v>22578</v>
      </c>
      <c r="F10" s="41">
        <v>24867</v>
      </c>
      <c r="G10" s="41">
        <v>32549</v>
      </c>
      <c r="H10" s="41">
        <v>39691</v>
      </c>
      <c r="I10" s="41">
        <v>50143</v>
      </c>
      <c r="J10" s="17">
        <v>549315</v>
      </c>
      <c r="K10" s="17">
        <v>646299</v>
      </c>
      <c r="L10" s="19">
        <v>802697</v>
      </c>
      <c r="M10" s="20">
        <v>938709</v>
      </c>
      <c r="N10" s="21">
        <v>1054558</v>
      </c>
      <c r="O10" s="21">
        <v>1245589</v>
      </c>
      <c r="P10" s="22">
        <v>1369346</v>
      </c>
      <c r="Q10" s="23">
        <v>1440293</v>
      </c>
      <c r="R10" s="23">
        <v>1542621</v>
      </c>
      <c r="S10" s="23">
        <v>1759266.9999999998</v>
      </c>
      <c r="T10" s="23">
        <v>2253815</v>
      </c>
      <c r="U10" s="28">
        <v>2362956</v>
      </c>
      <c r="V10" s="30">
        <v>2569834</v>
      </c>
      <c r="W10" s="26">
        <v>2626577.4882346201</v>
      </c>
      <c r="X10" s="26">
        <v>3315746.62148694</v>
      </c>
      <c r="Y10" s="28">
        <v>4264761.4128509201</v>
      </c>
      <c r="Z10" s="28">
        <v>4853884.3445079997</v>
      </c>
      <c r="AA10" s="28">
        <v>5359639.1295950003</v>
      </c>
    </row>
    <row r="11" spans="1:27" ht="15.5" x14ac:dyDescent="0.25">
      <c r="A11" s="5" t="s">
        <v>8</v>
      </c>
      <c r="B11" s="12"/>
      <c r="C11" s="12"/>
      <c r="D11" s="12"/>
      <c r="E11" s="12"/>
      <c r="F11" s="12"/>
      <c r="G11" s="12"/>
      <c r="H11" s="12"/>
      <c r="I11" s="12"/>
      <c r="J11" s="33">
        <v>36821</v>
      </c>
      <c r="K11" s="33">
        <v>39302</v>
      </c>
      <c r="L11" s="34">
        <v>56311</v>
      </c>
      <c r="M11" s="35">
        <v>65046</v>
      </c>
      <c r="N11" s="12">
        <v>78492</v>
      </c>
      <c r="O11" s="12">
        <v>84042</v>
      </c>
      <c r="P11" s="36">
        <v>89305</v>
      </c>
      <c r="Q11" s="37">
        <v>96346</v>
      </c>
      <c r="R11" s="37">
        <v>101700</v>
      </c>
      <c r="S11" s="37">
        <v>114527</v>
      </c>
      <c r="T11" s="37">
        <v>129229</v>
      </c>
      <c r="U11" s="38">
        <v>139754</v>
      </c>
      <c r="V11" s="39">
        <v>154752</v>
      </c>
      <c r="W11" s="40">
        <v>132364.21512169301</v>
      </c>
      <c r="X11" s="40">
        <v>161037.16544540101</v>
      </c>
      <c r="Y11" s="38">
        <v>218897.37543813401</v>
      </c>
      <c r="Z11" s="38">
        <v>249795.159874</v>
      </c>
      <c r="AA11" s="38">
        <v>276291.93156200001</v>
      </c>
    </row>
    <row r="12" spans="1:27" ht="15.5" x14ac:dyDescent="0.25">
      <c r="A12" s="5" t="s">
        <v>9</v>
      </c>
      <c r="B12" s="12"/>
      <c r="C12" s="12"/>
      <c r="D12" s="12"/>
      <c r="E12" s="12"/>
      <c r="F12" s="12"/>
      <c r="G12" s="12"/>
      <c r="H12" s="12"/>
      <c r="I12" s="12"/>
      <c r="J12" s="33">
        <v>8252</v>
      </c>
      <c r="K12" s="33">
        <v>9687</v>
      </c>
      <c r="L12" s="34">
        <v>14853</v>
      </c>
      <c r="M12" s="35">
        <v>14620</v>
      </c>
      <c r="N12" s="12">
        <v>16431</v>
      </c>
      <c r="O12" s="12">
        <v>17949</v>
      </c>
      <c r="P12" s="36">
        <v>16807</v>
      </c>
      <c r="Q12" s="37">
        <v>19697</v>
      </c>
      <c r="R12" s="37">
        <v>17905</v>
      </c>
      <c r="S12" s="37">
        <v>16928</v>
      </c>
      <c r="T12" s="37">
        <v>19126</v>
      </c>
      <c r="U12" s="38">
        <v>19052</v>
      </c>
      <c r="V12" s="39">
        <v>19120</v>
      </c>
      <c r="W12" s="40">
        <v>18719.710939535998</v>
      </c>
      <c r="X12" s="40">
        <v>21209.609903987999</v>
      </c>
      <c r="Y12" s="38">
        <v>26443.782895265002</v>
      </c>
      <c r="Z12" s="38">
        <v>31347.934390999999</v>
      </c>
      <c r="AA12" s="38">
        <v>40913.894658999998</v>
      </c>
    </row>
    <row r="13" spans="1:27" ht="15.5" x14ac:dyDescent="0.25">
      <c r="A13" s="5" t="s">
        <v>10</v>
      </c>
      <c r="B13" s="12"/>
      <c r="C13" s="12"/>
      <c r="D13" s="12"/>
      <c r="E13" s="12"/>
      <c r="F13" s="12"/>
      <c r="G13" s="12"/>
      <c r="H13" s="12"/>
      <c r="I13" s="12"/>
      <c r="J13" s="33">
        <v>12213</v>
      </c>
      <c r="K13" s="33">
        <v>13625</v>
      </c>
      <c r="L13" s="34">
        <v>26470</v>
      </c>
      <c r="M13" s="35">
        <v>30260</v>
      </c>
      <c r="N13" s="12">
        <v>34204</v>
      </c>
      <c r="O13" s="12">
        <v>38645</v>
      </c>
      <c r="P13" s="36">
        <v>35961</v>
      </c>
      <c r="Q13" s="37">
        <v>37801</v>
      </c>
      <c r="R13" s="37">
        <v>37972</v>
      </c>
      <c r="S13" s="37">
        <v>36776</v>
      </c>
      <c r="T13" s="37">
        <v>38437</v>
      </c>
      <c r="U13" s="38">
        <v>43468</v>
      </c>
      <c r="V13" s="39">
        <v>51309</v>
      </c>
      <c r="W13" s="40">
        <v>50282.366993240001</v>
      </c>
      <c r="X13" s="40">
        <v>65091.761734029998</v>
      </c>
      <c r="Y13" s="38">
        <v>76965.707535071997</v>
      </c>
      <c r="Z13" s="38">
        <v>79087.822904000001</v>
      </c>
      <c r="AA13" s="38">
        <v>92181.880036000002</v>
      </c>
    </row>
    <row r="14" spans="1:27" ht="15.5" x14ac:dyDescent="0.25">
      <c r="A14" s="5" t="s">
        <v>11</v>
      </c>
      <c r="B14" s="12"/>
      <c r="C14" s="12"/>
      <c r="D14" s="12"/>
      <c r="E14" s="12"/>
      <c r="F14" s="12"/>
      <c r="G14" s="12"/>
      <c r="H14" s="12"/>
      <c r="I14" s="12"/>
      <c r="J14" s="33">
        <v>7559</v>
      </c>
      <c r="K14" s="33">
        <v>9417</v>
      </c>
      <c r="L14" s="34">
        <v>8349</v>
      </c>
      <c r="M14" s="35">
        <v>9693</v>
      </c>
      <c r="N14" s="12">
        <v>8134</v>
      </c>
      <c r="O14" s="12">
        <v>9298</v>
      </c>
      <c r="P14" s="36">
        <v>9576</v>
      </c>
      <c r="Q14" s="37">
        <v>10528</v>
      </c>
      <c r="R14" s="37">
        <v>10729</v>
      </c>
      <c r="S14" s="37">
        <v>7541</v>
      </c>
      <c r="T14" s="37">
        <v>6377</v>
      </c>
      <c r="U14" s="38">
        <v>6704</v>
      </c>
      <c r="V14" s="39">
        <v>5329</v>
      </c>
      <c r="W14" s="40">
        <v>7468.88</v>
      </c>
      <c r="X14" s="40">
        <v>7205.97</v>
      </c>
      <c r="Y14" s="38">
        <v>6726.54</v>
      </c>
      <c r="Z14" s="38">
        <v>7520.92</v>
      </c>
      <c r="AA14" s="38">
        <v>10674.57</v>
      </c>
    </row>
    <row r="15" spans="1:27" ht="15.5" x14ac:dyDescent="0.25">
      <c r="A15" s="5" t="s">
        <v>12</v>
      </c>
      <c r="B15" s="12"/>
      <c r="C15" s="12"/>
      <c r="D15" s="12"/>
      <c r="E15" s="12"/>
      <c r="F15" s="12"/>
      <c r="G15" s="12"/>
      <c r="H15" s="12"/>
      <c r="I15" s="12"/>
      <c r="J15" s="33">
        <v>26584</v>
      </c>
      <c r="K15" s="33">
        <v>44257</v>
      </c>
      <c r="L15" s="34">
        <v>56513</v>
      </c>
      <c r="M15" s="35">
        <v>60476</v>
      </c>
      <c r="N15" s="12">
        <v>51645.000000000007</v>
      </c>
      <c r="O15" s="12">
        <v>66224</v>
      </c>
      <c r="P15" s="36">
        <v>71631</v>
      </c>
      <c r="Q15" s="37">
        <v>94502</v>
      </c>
      <c r="R15" s="37">
        <v>117686.99999999999</v>
      </c>
      <c r="S15" s="37">
        <v>135318</v>
      </c>
      <c r="T15" s="37">
        <v>168471</v>
      </c>
      <c r="U15" s="38">
        <v>170660</v>
      </c>
      <c r="V15" s="39">
        <v>128577</v>
      </c>
      <c r="W15" s="40">
        <v>101362.73420412499</v>
      </c>
      <c r="X15" s="40">
        <v>124320.913931672</v>
      </c>
      <c r="Y15" s="38">
        <v>155924.27959838699</v>
      </c>
      <c r="Z15" s="38">
        <v>184912.89820900001</v>
      </c>
      <c r="AA15" s="38">
        <v>202814.26142600001</v>
      </c>
    </row>
    <row r="16" spans="1:27" ht="15.5" x14ac:dyDescent="0.25">
      <c r="A16" s="5" t="s">
        <v>13</v>
      </c>
      <c r="B16" s="12"/>
      <c r="C16" s="12"/>
      <c r="D16" s="12"/>
      <c r="E16" s="12"/>
      <c r="F16" s="12"/>
      <c r="G16" s="12"/>
      <c r="H16" s="12"/>
      <c r="I16" s="12"/>
      <c r="J16" s="33">
        <v>123828</v>
      </c>
      <c r="K16" s="33">
        <v>144377</v>
      </c>
      <c r="L16" s="34">
        <v>174624</v>
      </c>
      <c r="M16" s="35">
        <v>201832</v>
      </c>
      <c r="N16" s="12">
        <v>251683</v>
      </c>
      <c r="O16" s="12">
        <v>300537</v>
      </c>
      <c r="P16" s="36">
        <v>326911</v>
      </c>
      <c r="Q16" s="37">
        <v>360526</v>
      </c>
      <c r="R16" s="37">
        <v>372842</v>
      </c>
      <c r="S16" s="37">
        <v>432809</v>
      </c>
      <c r="T16" s="37">
        <v>479514.99999999994</v>
      </c>
      <c r="U16" s="38">
        <v>501677</v>
      </c>
      <c r="V16" s="39">
        <v>575549</v>
      </c>
      <c r="W16" s="40">
        <v>588737.50447222905</v>
      </c>
      <c r="X16" s="40">
        <v>733730.02797159494</v>
      </c>
      <c r="Y16" s="38">
        <v>910846.10297778796</v>
      </c>
      <c r="Z16" s="38">
        <v>1081553.3524849999</v>
      </c>
      <c r="AA16" s="38">
        <v>1230778.484864</v>
      </c>
    </row>
    <row r="17" spans="1:27" ht="15.5" x14ac:dyDescent="0.25">
      <c r="A17" s="5" t="s">
        <v>14</v>
      </c>
      <c r="B17" s="42">
        <v>16818</v>
      </c>
      <c r="C17" s="42">
        <v>17845</v>
      </c>
      <c r="D17" s="42">
        <v>20459</v>
      </c>
      <c r="E17" s="42">
        <v>22578</v>
      </c>
      <c r="F17" s="42">
        <v>24867</v>
      </c>
      <c r="G17" s="42">
        <v>32549</v>
      </c>
      <c r="H17" s="42">
        <v>39691</v>
      </c>
      <c r="I17" s="42">
        <v>50143</v>
      </c>
      <c r="J17" s="33">
        <v>55749</v>
      </c>
      <c r="K17" s="33">
        <v>67425</v>
      </c>
      <c r="L17" s="34">
        <v>94702</v>
      </c>
      <c r="M17" s="35">
        <v>112747</v>
      </c>
      <c r="N17" s="12">
        <v>137940</v>
      </c>
      <c r="O17" s="12">
        <v>157385</v>
      </c>
      <c r="P17" s="36">
        <v>161964</v>
      </c>
      <c r="Q17" s="37">
        <v>164130</v>
      </c>
      <c r="R17" s="37">
        <v>168180</v>
      </c>
      <c r="S17" s="37">
        <v>190891</v>
      </c>
      <c r="T17" s="37">
        <v>211594.99999999997</v>
      </c>
      <c r="U17" s="38">
        <v>217567</v>
      </c>
      <c r="V17" s="39">
        <v>275279</v>
      </c>
      <c r="W17" s="40">
        <v>303758.345403213</v>
      </c>
      <c r="X17" s="40">
        <v>353788.56297844602</v>
      </c>
      <c r="Y17" s="38">
        <v>457384.53651745297</v>
      </c>
      <c r="Z17" s="38">
        <v>568470.96464499994</v>
      </c>
      <c r="AA17" s="38">
        <v>657178.71086899994</v>
      </c>
    </row>
    <row r="18" spans="1:27" ht="15.5" x14ac:dyDescent="0.25">
      <c r="A18" s="5" t="s">
        <v>15</v>
      </c>
      <c r="B18" s="12"/>
      <c r="C18" s="12"/>
      <c r="D18" s="12"/>
      <c r="E18" s="12"/>
      <c r="F18" s="12"/>
      <c r="G18" s="12"/>
      <c r="H18" s="12"/>
      <c r="I18" s="12"/>
      <c r="J18" s="33">
        <v>68079</v>
      </c>
      <c r="K18" s="33">
        <v>76952</v>
      </c>
      <c r="L18" s="34">
        <v>79921</v>
      </c>
      <c r="M18" s="35">
        <v>89085</v>
      </c>
      <c r="N18" s="12">
        <v>113743</v>
      </c>
      <c r="O18" s="12">
        <v>143152</v>
      </c>
      <c r="P18" s="36">
        <v>164947</v>
      </c>
      <c r="Q18" s="37">
        <v>196396</v>
      </c>
      <c r="R18" s="37">
        <v>204662</v>
      </c>
      <c r="S18" s="37">
        <v>241917.99999999997</v>
      </c>
      <c r="T18" s="37">
        <v>267920</v>
      </c>
      <c r="U18" s="38">
        <v>284109</v>
      </c>
      <c r="V18" s="39">
        <v>300270</v>
      </c>
      <c r="W18" s="40">
        <v>284979.15906901599</v>
      </c>
      <c r="X18" s="40">
        <v>379941.46499314898</v>
      </c>
      <c r="Y18" s="38">
        <v>453461.56646033499</v>
      </c>
      <c r="Z18" s="38">
        <v>513082.38783999998</v>
      </c>
      <c r="AA18" s="38">
        <v>573599.77399500005</v>
      </c>
    </row>
    <row r="19" spans="1:27" ht="15.5" x14ac:dyDescent="0.25">
      <c r="A19" s="5" t="s">
        <v>16</v>
      </c>
      <c r="B19" s="12"/>
      <c r="C19" s="12"/>
      <c r="D19" s="12"/>
      <c r="E19" s="12"/>
      <c r="F19" s="12"/>
      <c r="G19" s="12"/>
      <c r="H19" s="12"/>
      <c r="I19" s="12"/>
      <c r="J19" s="33">
        <v>63168</v>
      </c>
      <c r="K19" s="33">
        <v>92421</v>
      </c>
      <c r="L19" s="34">
        <v>105479</v>
      </c>
      <c r="M19" s="35">
        <v>116670</v>
      </c>
      <c r="N19" s="12">
        <v>120105</v>
      </c>
      <c r="O19" s="12">
        <v>143080</v>
      </c>
      <c r="P19" s="36">
        <v>165082</v>
      </c>
      <c r="Q19" s="37">
        <v>170767</v>
      </c>
      <c r="R19" s="37">
        <v>176246</v>
      </c>
      <c r="S19" s="37">
        <v>181876</v>
      </c>
      <c r="T19" s="37">
        <v>187665</v>
      </c>
      <c r="U19" s="38">
        <v>220685</v>
      </c>
      <c r="V19" s="39">
        <v>233150</v>
      </c>
      <c r="W19" s="40">
        <v>260261.986937212</v>
      </c>
      <c r="X19" s="40">
        <v>304275.69612486497</v>
      </c>
      <c r="Y19" s="38">
        <v>428720.16634409397</v>
      </c>
      <c r="Z19" s="38">
        <v>514893.84570200002</v>
      </c>
      <c r="AA19" s="38">
        <v>570144.44280199998</v>
      </c>
    </row>
    <row r="20" spans="1:27" ht="15.5" x14ac:dyDescent="0.25">
      <c r="A20" s="5" t="s">
        <v>17</v>
      </c>
      <c r="B20" s="12"/>
      <c r="C20" s="12"/>
      <c r="D20" s="12"/>
      <c r="E20" s="12"/>
      <c r="F20" s="12"/>
      <c r="G20" s="12"/>
      <c r="H20" s="12"/>
      <c r="I20" s="12"/>
      <c r="J20" s="33">
        <v>78938</v>
      </c>
      <c r="K20" s="33">
        <v>98853</v>
      </c>
      <c r="L20" s="34">
        <v>135288</v>
      </c>
      <c r="M20" s="35">
        <v>187222</v>
      </c>
      <c r="N20" s="12">
        <v>247473.99999999997</v>
      </c>
      <c r="O20" s="12">
        <v>286935</v>
      </c>
      <c r="P20" s="36">
        <v>304769</v>
      </c>
      <c r="Q20" s="37">
        <v>312405</v>
      </c>
      <c r="R20" s="37">
        <v>316507</v>
      </c>
      <c r="S20" s="37">
        <v>360271</v>
      </c>
      <c r="T20" s="37">
        <v>566312</v>
      </c>
      <c r="U20" s="38">
        <v>730907</v>
      </c>
      <c r="V20" s="39">
        <v>788222</v>
      </c>
      <c r="W20" s="40">
        <v>920630.45123725093</v>
      </c>
      <c r="X20" s="40">
        <v>1218790.604587774</v>
      </c>
      <c r="Y20" s="38">
        <v>1493751.4800926459</v>
      </c>
      <c r="Z20" s="38">
        <v>1575306.4645229999</v>
      </c>
      <c r="AA20" s="38">
        <v>1723493.0711449999</v>
      </c>
    </row>
    <row r="21" spans="1:27" ht="15.5" x14ac:dyDescent="0.25">
      <c r="A21" s="5" t="s">
        <v>18</v>
      </c>
      <c r="B21" s="12"/>
      <c r="C21" s="12"/>
      <c r="D21" s="12"/>
      <c r="E21" s="12"/>
      <c r="F21" s="12"/>
      <c r="G21" s="12"/>
      <c r="H21" s="12"/>
      <c r="I21" s="12"/>
      <c r="J21" s="33">
        <v>191955</v>
      </c>
      <c r="K21" s="33">
        <v>194360</v>
      </c>
      <c r="L21" s="34">
        <v>224810</v>
      </c>
      <c r="M21" s="35">
        <v>252891</v>
      </c>
      <c r="N21" s="12">
        <v>246389</v>
      </c>
      <c r="O21" s="12">
        <v>298878</v>
      </c>
      <c r="P21" s="36">
        <v>349300</v>
      </c>
      <c r="Q21" s="37">
        <v>337722</v>
      </c>
      <c r="R21" s="37">
        <v>391032</v>
      </c>
      <c r="S21" s="37">
        <v>473221</v>
      </c>
      <c r="T21" s="37">
        <v>658683</v>
      </c>
      <c r="U21" s="38">
        <v>530048</v>
      </c>
      <c r="V21" s="39">
        <v>613826</v>
      </c>
      <c r="W21" s="43">
        <v>519978.66832933202</v>
      </c>
      <c r="X21" s="43">
        <v>655639.411787619</v>
      </c>
      <c r="Y21" s="38">
        <v>906036.96796953294</v>
      </c>
      <c r="Z21" s="38">
        <v>1083019.509785</v>
      </c>
      <c r="AA21" s="38">
        <v>1163697.4831019999</v>
      </c>
    </row>
    <row r="22" spans="1:27" ht="15.5" x14ac:dyDescent="0.35">
      <c r="A22" s="3" t="s">
        <v>19</v>
      </c>
      <c r="B22" s="21"/>
      <c r="C22" s="21"/>
      <c r="D22" s="21"/>
      <c r="E22" s="21"/>
      <c r="F22" s="21"/>
      <c r="G22" s="21"/>
      <c r="H22" s="21"/>
      <c r="I22" s="21"/>
      <c r="J22" s="17">
        <v>521799</v>
      </c>
      <c r="K22" s="17">
        <v>562479</v>
      </c>
      <c r="L22" s="19">
        <v>635313</v>
      </c>
      <c r="M22" s="20">
        <v>720653</v>
      </c>
      <c r="N22" s="21">
        <v>854512.99999999988</v>
      </c>
      <c r="O22" s="21">
        <v>984387.00000000012</v>
      </c>
      <c r="P22" s="22">
        <v>1135650</v>
      </c>
      <c r="Q22" s="23">
        <v>1304637</v>
      </c>
      <c r="R22" s="23">
        <v>1503123</v>
      </c>
      <c r="S22" s="23">
        <v>1762955</v>
      </c>
      <c r="T22" s="23">
        <v>2066175.9999999998</v>
      </c>
      <c r="U22" s="28">
        <v>2404701</v>
      </c>
      <c r="V22" s="30">
        <v>2644599</v>
      </c>
      <c r="W22" s="44">
        <v>2985430.1573548601</v>
      </c>
      <c r="X22" s="44">
        <v>3800330.0275557102</v>
      </c>
      <c r="Y22" s="28">
        <v>5056523.9327295097</v>
      </c>
      <c r="Z22" s="45">
        <v>5734855.6777269999</v>
      </c>
      <c r="AA22" s="28">
        <v>6486418.1793910004</v>
      </c>
    </row>
    <row r="23" spans="1:27" ht="15.5" x14ac:dyDescent="0.25">
      <c r="A23" s="5" t="s">
        <v>20</v>
      </c>
      <c r="B23" s="12"/>
      <c r="C23" s="12"/>
      <c r="D23" s="12"/>
      <c r="E23" s="12"/>
      <c r="F23" s="12"/>
      <c r="G23" s="12"/>
      <c r="H23" s="12"/>
      <c r="I23" s="12"/>
      <c r="J23" s="33">
        <v>9797</v>
      </c>
      <c r="K23" s="33">
        <v>8187</v>
      </c>
      <c r="L23" s="34">
        <v>8928</v>
      </c>
      <c r="M23" s="35">
        <v>8168</v>
      </c>
      <c r="N23" s="12">
        <v>7518.0000000000009</v>
      </c>
      <c r="O23" s="12">
        <v>9987</v>
      </c>
      <c r="P23" s="36">
        <v>14660</v>
      </c>
      <c r="Q23" s="37">
        <v>16545</v>
      </c>
      <c r="R23" s="37">
        <v>19562</v>
      </c>
      <c r="S23" s="37">
        <v>17957</v>
      </c>
      <c r="T23" s="37">
        <v>3274</v>
      </c>
      <c r="U23" s="38">
        <v>5499</v>
      </c>
      <c r="V23" s="39">
        <v>6937</v>
      </c>
      <c r="W23" s="43">
        <v>12312.583963068</v>
      </c>
      <c r="X23" s="43">
        <v>35657.520268380002</v>
      </c>
      <c r="Y23" s="38">
        <v>23595.367330450001</v>
      </c>
      <c r="Z23" s="38">
        <v>24697.835904</v>
      </c>
      <c r="AA23" s="38">
        <v>23027.620034</v>
      </c>
    </row>
    <row r="24" spans="1:27" ht="15.5" x14ac:dyDescent="0.25">
      <c r="A24" s="5" t="s">
        <v>21</v>
      </c>
      <c r="B24" s="12"/>
      <c r="C24" s="12"/>
      <c r="D24" s="12"/>
      <c r="E24" s="12"/>
      <c r="F24" s="12"/>
      <c r="G24" s="12"/>
      <c r="H24" s="12"/>
      <c r="I24" s="12"/>
      <c r="J24" s="33">
        <v>260306</v>
      </c>
      <c r="K24" s="33">
        <v>279365</v>
      </c>
      <c r="L24" s="34">
        <v>327391</v>
      </c>
      <c r="M24" s="35">
        <v>372503</v>
      </c>
      <c r="N24" s="12">
        <v>433687</v>
      </c>
      <c r="O24" s="12">
        <v>512076</v>
      </c>
      <c r="P24" s="36">
        <v>595970</v>
      </c>
      <c r="Q24" s="37">
        <v>705235</v>
      </c>
      <c r="R24" s="37">
        <v>815344</v>
      </c>
      <c r="S24" s="37">
        <v>922101</v>
      </c>
      <c r="T24" s="37">
        <v>1077416</v>
      </c>
      <c r="U24" s="38">
        <v>1274747</v>
      </c>
      <c r="V24" s="39">
        <v>1383427</v>
      </c>
      <c r="W24" s="43">
        <v>1490156.75009997</v>
      </c>
      <c r="X24" s="43">
        <v>1843861.8376464001</v>
      </c>
      <c r="Y24" s="38">
        <v>2594105.8848933298</v>
      </c>
      <c r="Z24" s="38">
        <v>2908671.9070319999</v>
      </c>
      <c r="AA24" s="38">
        <v>3195340.9598590001</v>
      </c>
    </row>
    <row r="25" spans="1:27" ht="15.5" x14ac:dyDescent="0.25">
      <c r="A25" s="5" t="s">
        <v>22</v>
      </c>
      <c r="B25" s="12"/>
      <c r="C25" s="12"/>
      <c r="D25" s="12"/>
      <c r="E25" s="12"/>
      <c r="F25" s="12"/>
      <c r="G25" s="12"/>
      <c r="H25" s="12"/>
      <c r="I25" s="12"/>
      <c r="J25" s="33">
        <v>45041</v>
      </c>
      <c r="K25" s="33">
        <v>48676</v>
      </c>
      <c r="L25" s="34">
        <v>53613</v>
      </c>
      <c r="M25" s="35">
        <v>58769</v>
      </c>
      <c r="N25" s="12">
        <v>55698</v>
      </c>
      <c r="O25" s="12">
        <v>56520.000000000007</v>
      </c>
      <c r="P25" s="36">
        <v>55721</v>
      </c>
      <c r="Q25" s="37">
        <v>60458.000000000007</v>
      </c>
      <c r="R25" s="37">
        <v>59519.000000000007</v>
      </c>
      <c r="S25" s="37">
        <v>53695.000000000007</v>
      </c>
      <c r="T25" s="37">
        <v>68160</v>
      </c>
      <c r="U25" s="38">
        <v>62892</v>
      </c>
      <c r="V25" s="39">
        <v>64512</v>
      </c>
      <c r="W25" s="43">
        <v>64797.234540097001</v>
      </c>
      <c r="X25" s="43">
        <v>96188.174274906996</v>
      </c>
      <c r="Y25" s="38">
        <v>112983.375351943</v>
      </c>
      <c r="Z25" s="38">
        <v>131221.11580999999</v>
      </c>
      <c r="AA25" s="38">
        <v>147076.341266</v>
      </c>
    </row>
    <row r="26" spans="1:27" ht="15.5" x14ac:dyDescent="0.25">
      <c r="A26" s="5" t="s">
        <v>23</v>
      </c>
      <c r="B26" s="12"/>
      <c r="C26" s="12"/>
      <c r="D26" s="12"/>
      <c r="E26" s="12"/>
      <c r="F26" s="12"/>
      <c r="G26" s="12"/>
      <c r="H26" s="12"/>
      <c r="I26" s="12"/>
      <c r="J26" s="33">
        <v>4075</v>
      </c>
      <c r="K26" s="33">
        <v>2287</v>
      </c>
      <c r="L26" s="34">
        <v>2935</v>
      </c>
      <c r="M26" s="35">
        <v>3612</v>
      </c>
      <c r="N26" s="12">
        <v>2781</v>
      </c>
      <c r="O26" s="12">
        <v>3267</v>
      </c>
      <c r="P26" s="36">
        <v>4047</v>
      </c>
      <c r="Q26" s="37">
        <v>6886</v>
      </c>
      <c r="R26" s="37">
        <v>4623</v>
      </c>
      <c r="S26" s="37">
        <v>5458</v>
      </c>
      <c r="T26" s="37">
        <v>5969</v>
      </c>
      <c r="U26" s="38">
        <v>4982</v>
      </c>
      <c r="V26" s="39">
        <v>4655</v>
      </c>
      <c r="W26" s="43">
        <v>4714.0459718940001</v>
      </c>
      <c r="X26" s="43">
        <v>6757.7556914090001</v>
      </c>
      <c r="Y26" s="38">
        <v>7833.8504807400004</v>
      </c>
      <c r="Z26" s="38">
        <v>8274.1674519999997</v>
      </c>
      <c r="AA26" s="38">
        <v>9752.3382529999999</v>
      </c>
    </row>
    <row r="27" spans="1:27" ht="15.5" x14ac:dyDescent="0.25">
      <c r="A27" s="5" t="s">
        <v>24</v>
      </c>
      <c r="B27" s="12"/>
      <c r="C27" s="12"/>
      <c r="D27" s="12"/>
      <c r="E27" s="12"/>
      <c r="F27" s="12"/>
      <c r="G27" s="12"/>
      <c r="H27" s="12"/>
      <c r="I27" s="12"/>
      <c r="J27" s="33">
        <v>26729</v>
      </c>
      <c r="K27" s="33">
        <v>28000</v>
      </c>
      <c r="L27" s="34">
        <v>18908</v>
      </c>
      <c r="M27" s="35">
        <v>19611</v>
      </c>
      <c r="N27" s="12">
        <v>24651</v>
      </c>
      <c r="O27" s="12">
        <v>24147</v>
      </c>
      <c r="P27" s="36">
        <v>29486</v>
      </c>
      <c r="Q27" s="37">
        <v>37646</v>
      </c>
      <c r="R27" s="37">
        <v>46345</v>
      </c>
      <c r="S27" s="37">
        <v>63715</v>
      </c>
      <c r="T27" s="37">
        <v>85278</v>
      </c>
      <c r="U27" s="38">
        <v>105860</v>
      </c>
      <c r="V27" s="39">
        <v>114307</v>
      </c>
      <c r="W27" s="43">
        <v>122110.96073185001</v>
      </c>
      <c r="X27" s="43">
        <v>173423.84</v>
      </c>
      <c r="Y27" s="38">
        <v>244688.67</v>
      </c>
      <c r="Z27" s="38">
        <v>288996.78087800002</v>
      </c>
      <c r="AA27" s="38">
        <v>296070.136237</v>
      </c>
    </row>
    <row r="28" spans="1:27" ht="15.5" x14ac:dyDescent="0.25">
      <c r="A28" s="5" t="s">
        <v>25</v>
      </c>
      <c r="B28" s="12"/>
      <c r="C28" s="12"/>
      <c r="D28" s="12"/>
      <c r="E28" s="12"/>
      <c r="F28" s="12"/>
      <c r="G28" s="12"/>
      <c r="H28" s="12"/>
      <c r="I28" s="12"/>
      <c r="J28" s="33">
        <v>20532</v>
      </c>
      <c r="K28" s="33">
        <v>28579</v>
      </c>
      <c r="L28" s="34">
        <v>42412</v>
      </c>
      <c r="M28" s="35">
        <v>49065</v>
      </c>
      <c r="N28" s="12">
        <v>54354</v>
      </c>
      <c r="O28" s="12">
        <v>58875</v>
      </c>
      <c r="P28" s="36">
        <v>62785</v>
      </c>
      <c r="Q28" s="37">
        <v>67682</v>
      </c>
      <c r="R28" s="37">
        <v>70963</v>
      </c>
      <c r="S28" s="37">
        <v>71693</v>
      </c>
      <c r="T28" s="37">
        <v>69190</v>
      </c>
      <c r="U28" s="38">
        <v>66902</v>
      </c>
      <c r="V28" s="39">
        <v>65180</v>
      </c>
      <c r="W28" s="43">
        <v>63452.092372842999</v>
      </c>
      <c r="X28" s="43">
        <v>91068.733797780005</v>
      </c>
      <c r="Y28" s="38">
        <v>111867.997941785</v>
      </c>
      <c r="Z28" s="38">
        <v>131628.538019</v>
      </c>
      <c r="AA28" s="38">
        <v>149800.45522800001</v>
      </c>
    </row>
    <row r="29" spans="1:27" ht="15.5" x14ac:dyDescent="0.25">
      <c r="A29" s="5" t="s">
        <v>26</v>
      </c>
      <c r="B29" s="12"/>
      <c r="C29" s="12"/>
      <c r="D29" s="12"/>
      <c r="E29" s="12"/>
      <c r="F29" s="12"/>
      <c r="G29" s="12"/>
      <c r="H29" s="12"/>
      <c r="I29" s="12"/>
      <c r="J29" s="33">
        <v>58622</v>
      </c>
      <c r="K29" s="33">
        <v>61995</v>
      </c>
      <c r="L29" s="34">
        <v>73702</v>
      </c>
      <c r="M29" s="35">
        <v>86877</v>
      </c>
      <c r="N29" s="12">
        <v>103316.00000000001</v>
      </c>
      <c r="O29" s="12">
        <v>124035.99999999999</v>
      </c>
      <c r="P29" s="36">
        <v>145869</v>
      </c>
      <c r="Q29" s="37">
        <v>137887</v>
      </c>
      <c r="R29" s="37">
        <v>167347</v>
      </c>
      <c r="S29" s="37">
        <v>180796</v>
      </c>
      <c r="T29" s="37">
        <v>198707</v>
      </c>
      <c r="U29" s="38">
        <v>207996</v>
      </c>
      <c r="V29" s="39">
        <v>228758</v>
      </c>
      <c r="W29" s="43">
        <v>275249.47096252098</v>
      </c>
      <c r="X29" s="43">
        <v>468088.11081800697</v>
      </c>
      <c r="Y29" s="38">
        <v>564784.52852155396</v>
      </c>
      <c r="Z29" s="38">
        <v>605587.26737899997</v>
      </c>
      <c r="AA29" s="38">
        <v>680535.68805600004</v>
      </c>
    </row>
    <row r="30" spans="1:27" ht="15.5" x14ac:dyDescent="0.25">
      <c r="A30" s="5" t="s">
        <v>27</v>
      </c>
      <c r="B30" s="12"/>
      <c r="C30" s="12"/>
      <c r="D30" s="12"/>
      <c r="E30" s="12"/>
      <c r="F30" s="12"/>
      <c r="G30" s="12"/>
      <c r="H30" s="12"/>
      <c r="I30" s="12"/>
      <c r="J30" s="33">
        <v>96697</v>
      </c>
      <c r="K30" s="33">
        <v>105390</v>
      </c>
      <c r="L30" s="34">
        <v>107425</v>
      </c>
      <c r="M30" s="35">
        <v>122046</v>
      </c>
      <c r="N30" s="12">
        <v>172508</v>
      </c>
      <c r="O30" s="12">
        <v>195477</v>
      </c>
      <c r="P30" s="36">
        <v>227112</v>
      </c>
      <c r="Q30" s="37">
        <v>272297</v>
      </c>
      <c r="R30" s="37">
        <v>319420</v>
      </c>
      <c r="S30" s="37">
        <v>447539.00000000006</v>
      </c>
      <c r="T30" s="37">
        <v>558182</v>
      </c>
      <c r="U30" s="38">
        <v>675823</v>
      </c>
      <c r="V30" s="39">
        <v>776823</v>
      </c>
      <c r="W30" s="43">
        <v>65629.766351414</v>
      </c>
      <c r="X30" s="43">
        <v>83754.885087821007</v>
      </c>
      <c r="Y30" s="38">
        <v>100279.29845078501</v>
      </c>
      <c r="Z30" s="38">
        <v>164555.77909900001</v>
      </c>
      <c r="AA30" s="38">
        <v>358644.50137000001</v>
      </c>
    </row>
    <row r="31" spans="1:27" ht="15.5" x14ac:dyDescent="0.35">
      <c r="A31" s="3" t="s">
        <v>28</v>
      </c>
      <c r="B31" s="21">
        <f ca="1">SUM(B31:B41)</f>
        <v>170945</v>
      </c>
      <c r="C31" s="21">
        <f ca="1">SUM(C31:C41)</f>
        <v>197735</v>
      </c>
      <c r="D31" s="21">
        <f ca="1">SUM(D31:D41)</f>
        <v>218237</v>
      </c>
      <c r="E31" s="21">
        <f ca="1">SUM(E31:E41)</f>
        <v>260811</v>
      </c>
      <c r="F31" s="21">
        <f ca="1">SUM(F31:F41)</f>
        <v>321521</v>
      </c>
      <c r="G31" s="17">
        <v>381476</v>
      </c>
      <c r="H31" s="17">
        <v>510738</v>
      </c>
      <c r="I31" s="17">
        <v>635966</v>
      </c>
      <c r="J31" s="17">
        <v>748073</v>
      </c>
      <c r="K31" s="17">
        <v>932459</v>
      </c>
      <c r="L31" s="19">
        <v>1148808</v>
      </c>
      <c r="M31" s="20">
        <v>1253947</v>
      </c>
      <c r="N31" s="21">
        <v>1378957</v>
      </c>
      <c r="O31" s="21">
        <v>1714311</v>
      </c>
      <c r="P31" s="22">
        <v>1892709</v>
      </c>
      <c r="Q31" s="23">
        <v>2118291</v>
      </c>
      <c r="R31" s="23">
        <v>2242083</v>
      </c>
      <c r="S31" s="23">
        <v>2401679</v>
      </c>
      <c r="T31" s="23">
        <v>2604065</v>
      </c>
      <c r="U31" s="28">
        <v>2694733</v>
      </c>
      <c r="V31" s="30">
        <v>2934836</v>
      </c>
      <c r="W31" s="43">
        <v>887007.25236120902</v>
      </c>
      <c r="X31" s="43">
        <v>1001529.1699710001</v>
      </c>
      <c r="Y31" s="38">
        <v>1296384.9597589199</v>
      </c>
      <c r="Z31" s="38">
        <v>1471222.2861560001</v>
      </c>
      <c r="AA31" s="38">
        <v>1626170.1390889999</v>
      </c>
    </row>
    <row r="32" spans="1:27" ht="15.5" x14ac:dyDescent="0.25">
      <c r="A32" s="5" t="s">
        <v>2</v>
      </c>
      <c r="B32" s="12"/>
      <c r="C32" s="12"/>
      <c r="D32" s="12"/>
      <c r="E32" s="12"/>
      <c r="F32" s="12"/>
      <c r="G32" s="12"/>
      <c r="H32" s="12"/>
      <c r="I32" s="12"/>
      <c r="J32" s="33">
        <v>275343</v>
      </c>
      <c r="K32" s="33">
        <v>338656</v>
      </c>
      <c r="L32" s="34">
        <v>411816</v>
      </c>
      <c r="M32" s="35">
        <v>441841</v>
      </c>
      <c r="N32" s="12">
        <v>559213</v>
      </c>
      <c r="O32" s="12">
        <v>620645</v>
      </c>
      <c r="P32" s="36">
        <v>745988</v>
      </c>
      <c r="Q32" s="37">
        <v>826041</v>
      </c>
      <c r="R32" s="37">
        <v>907926</v>
      </c>
      <c r="S32" s="37">
        <v>984402</v>
      </c>
      <c r="T32" s="37">
        <v>1058673</v>
      </c>
      <c r="U32" s="38">
        <v>1125474</v>
      </c>
      <c r="V32" s="39">
        <v>1214929</v>
      </c>
      <c r="W32" s="43">
        <v>1283062.8564416501</v>
      </c>
      <c r="X32" s="43">
        <v>1631457.9744536499</v>
      </c>
      <c r="Y32" s="38">
        <v>1960407.66808162</v>
      </c>
      <c r="Z32" s="38">
        <v>2210311.6465090001</v>
      </c>
      <c r="AA32" s="38">
        <v>2433930.2094089999</v>
      </c>
    </row>
    <row r="33" spans="1:27" ht="15.5" x14ac:dyDescent="0.25">
      <c r="A33" s="5" t="s">
        <v>29</v>
      </c>
      <c r="B33" s="12"/>
      <c r="C33" s="12"/>
      <c r="D33" s="12"/>
      <c r="E33" s="12"/>
      <c r="F33" s="12"/>
      <c r="G33" s="12"/>
      <c r="H33" s="12"/>
      <c r="I33" s="12"/>
      <c r="J33" s="33">
        <v>252071</v>
      </c>
      <c r="K33" s="33">
        <v>309195</v>
      </c>
      <c r="L33" s="34">
        <v>407872</v>
      </c>
      <c r="M33" s="35">
        <v>473573</v>
      </c>
      <c r="N33" s="12">
        <v>512847</v>
      </c>
      <c r="O33" s="12">
        <v>642289</v>
      </c>
      <c r="P33" s="36">
        <v>756529</v>
      </c>
      <c r="Q33" s="37">
        <v>810462</v>
      </c>
      <c r="R33" s="37">
        <v>820041</v>
      </c>
      <c r="S33" s="37">
        <v>895320.99999999988</v>
      </c>
      <c r="T33" s="37">
        <v>995653.00000000012</v>
      </c>
      <c r="U33" s="38">
        <v>1057378</v>
      </c>
      <c r="V33" s="46">
        <v>1122053</v>
      </c>
      <c r="W33" s="43">
        <v>1099437.8939088599</v>
      </c>
      <c r="X33" s="43">
        <v>1457114.1535792099</v>
      </c>
      <c r="Y33" s="38">
        <v>1876491.7941769599</v>
      </c>
      <c r="Z33" s="38">
        <v>2092195.97535</v>
      </c>
      <c r="AA33" s="38">
        <v>2588509.4564720001</v>
      </c>
    </row>
    <row r="34" spans="1:27" ht="15.5" x14ac:dyDescent="0.25">
      <c r="A34" s="5" t="s">
        <v>30</v>
      </c>
      <c r="B34" s="12"/>
      <c r="C34" s="12"/>
      <c r="D34" s="12"/>
      <c r="E34" s="12"/>
      <c r="F34" s="12"/>
      <c r="G34" s="12"/>
      <c r="H34" s="12"/>
      <c r="I34" s="12"/>
      <c r="J34" s="33">
        <v>132698</v>
      </c>
      <c r="K34" s="33">
        <v>168997</v>
      </c>
      <c r="L34" s="34">
        <v>215635</v>
      </c>
      <c r="M34" s="35">
        <v>244825</v>
      </c>
      <c r="N34" s="12">
        <v>256888</v>
      </c>
      <c r="O34" s="12">
        <v>314504</v>
      </c>
      <c r="P34" s="36">
        <v>358900</v>
      </c>
      <c r="Q34" s="37">
        <v>372207</v>
      </c>
      <c r="R34" s="37">
        <v>343493</v>
      </c>
      <c r="S34" s="37">
        <v>359196</v>
      </c>
      <c r="T34" s="37">
        <v>362976</v>
      </c>
      <c r="U34" s="38">
        <v>362758</v>
      </c>
      <c r="V34" s="46">
        <v>364515</v>
      </c>
      <c r="W34" s="43">
        <v>242069.313319735</v>
      </c>
      <c r="X34" s="43">
        <v>369402.53284506098</v>
      </c>
      <c r="Y34" s="38">
        <v>460434.55633922003</v>
      </c>
      <c r="Z34" s="38">
        <v>556186.18922099995</v>
      </c>
      <c r="AA34" s="38">
        <v>648765.51347500004</v>
      </c>
    </row>
    <row r="35" spans="1:27" ht="15.5" x14ac:dyDescent="0.25">
      <c r="A35" s="5" t="s">
        <v>7</v>
      </c>
      <c r="B35" s="12"/>
      <c r="C35" s="12"/>
      <c r="D35" s="12"/>
      <c r="E35" s="12"/>
      <c r="F35" s="12"/>
      <c r="G35" s="12"/>
      <c r="H35" s="12"/>
      <c r="I35" s="12"/>
      <c r="J35" s="33">
        <v>119373</v>
      </c>
      <c r="K35" s="33">
        <v>140198</v>
      </c>
      <c r="L35" s="34">
        <v>192237</v>
      </c>
      <c r="M35" s="35">
        <v>228747</v>
      </c>
      <c r="N35" s="12">
        <v>255959</v>
      </c>
      <c r="O35" s="12">
        <v>327786</v>
      </c>
      <c r="P35" s="36">
        <v>397700</v>
      </c>
      <c r="Q35" s="37">
        <v>438255</v>
      </c>
      <c r="R35" s="37">
        <v>476548.00000000006</v>
      </c>
      <c r="S35" s="37">
        <v>536124</v>
      </c>
      <c r="T35" s="37">
        <v>632677</v>
      </c>
      <c r="U35" s="38">
        <v>694620</v>
      </c>
      <c r="V35" s="46">
        <v>757538</v>
      </c>
      <c r="W35" s="43">
        <v>444762.05547291599</v>
      </c>
      <c r="X35" s="43">
        <v>613394.605392433</v>
      </c>
      <c r="Y35" s="38">
        <v>740318.70075598499</v>
      </c>
      <c r="Z35" s="38">
        <v>752576.44911399996</v>
      </c>
      <c r="AA35" s="38">
        <v>992099.95850800001</v>
      </c>
    </row>
    <row r="36" spans="1:27" ht="15.5" x14ac:dyDescent="0.25">
      <c r="A36" s="5" t="s">
        <v>31</v>
      </c>
      <c r="B36" s="12"/>
      <c r="C36" s="12"/>
      <c r="D36" s="12"/>
      <c r="E36" s="12"/>
      <c r="F36" s="12"/>
      <c r="G36" s="12"/>
      <c r="H36" s="12"/>
      <c r="I36" s="12"/>
      <c r="J36" s="33">
        <v>180715</v>
      </c>
      <c r="K36" s="33">
        <v>197110</v>
      </c>
      <c r="L36" s="34">
        <v>231575</v>
      </c>
      <c r="M36" s="35">
        <v>236000</v>
      </c>
      <c r="N36" s="12">
        <v>258411</v>
      </c>
      <c r="O36" s="12">
        <v>294591</v>
      </c>
      <c r="P36" s="36">
        <v>321115</v>
      </c>
      <c r="Q36" s="37">
        <v>335229</v>
      </c>
      <c r="R36" s="37">
        <v>357483</v>
      </c>
      <c r="S36" s="37">
        <v>370118</v>
      </c>
      <c r="T36" s="37">
        <v>404312</v>
      </c>
      <c r="U36" s="38">
        <v>454000</v>
      </c>
      <c r="V36" s="46">
        <v>462488</v>
      </c>
      <c r="W36" s="43">
        <v>47038.967081820003</v>
      </c>
      <c r="X36" s="43">
        <v>58886.986073243999</v>
      </c>
      <c r="Y36" s="38">
        <v>61559.406531847002</v>
      </c>
      <c r="Z36" s="38">
        <v>62645.340220999999</v>
      </c>
      <c r="AA36" s="38">
        <v>74051.220971000002</v>
      </c>
    </row>
    <row r="37" spans="1:27" ht="15.5" x14ac:dyDescent="0.25">
      <c r="A37" s="5" t="s">
        <v>32</v>
      </c>
      <c r="B37" s="12"/>
      <c r="C37" s="12"/>
      <c r="D37" s="12"/>
      <c r="E37" s="12"/>
      <c r="F37" s="12"/>
      <c r="G37" s="12"/>
      <c r="H37" s="12"/>
      <c r="I37" s="12"/>
      <c r="J37" s="33">
        <v>13337</v>
      </c>
      <c r="K37" s="33">
        <v>16529</v>
      </c>
      <c r="L37" s="34">
        <v>28308</v>
      </c>
      <c r="M37" s="35">
        <v>25343</v>
      </c>
      <c r="N37" s="12">
        <v>15293</v>
      </c>
      <c r="O37" s="12">
        <v>18151</v>
      </c>
      <c r="P37" s="36">
        <v>17173</v>
      </c>
      <c r="Q37" s="37">
        <v>19218</v>
      </c>
      <c r="R37" s="37">
        <v>18003</v>
      </c>
      <c r="S37" s="37">
        <v>16008.000000000002</v>
      </c>
      <c r="T37" s="37">
        <v>23005</v>
      </c>
      <c r="U37" s="38">
        <v>33526</v>
      </c>
      <c r="V37" s="46">
        <v>32644</v>
      </c>
      <c r="W37" s="43">
        <v>1243.855982732</v>
      </c>
      <c r="X37" s="43">
        <v>4177.05184568</v>
      </c>
      <c r="Y37" s="38">
        <v>4676.680972092</v>
      </c>
      <c r="Z37" s="38">
        <v>7457.89</v>
      </c>
      <c r="AA37" s="38">
        <v>11555.27</v>
      </c>
    </row>
    <row r="38" spans="1:27" ht="15.5" x14ac:dyDescent="0.25">
      <c r="A38" s="5" t="s">
        <v>33</v>
      </c>
      <c r="B38" s="12"/>
      <c r="C38" s="12"/>
      <c r="D38" s="12"/>
      <c r="E38" s="12"/>
      <c r="F38" s="12"/>
      <c r="G38" s="12"/>
      <c r="H38" s="12"/>
      <c r="I38" s="12"/>
      <c r="J38" s="33">
        <v>19441</v>
      </c>
      <c r="K38" s="33">
        <v>27861</v>
      </c>
      <c r="L38" s="34">
        <v>40818</v>
      </c>
      <c r="M38" s="35">
        <v>47978</v>
      </c>
      <c r="N38" s="12">
        <v>52312</v>
      </c>
      <c r="O38" s="12">
        <v>56474</v>
      </c>
      <c r="P38" s="36">
        <v>59152</v>
      </c>
      <c r="Q38" s="37">
        <v>60746</v>
      </c>
      <c r="R38" s="37">
        <v>60670.000000000007</v>
      </c>
      <c r="S38" s="37">
        <v>59694.000000000007</v>
      </c>
      <c r="T38" s="37">
        <v>56835</v>
      </c>
      <c r="U38" s="38">
        <v>53410</v>
      </c>
      <c r="V38" s="46">
        <v>51506</v>
      </c>
      <c r="W38" s="43">
        <v>2330.574650003</v>
      </c>
      <c r="X38" s="43">
        <v>2393.8815441930001</v>
      </c>
      <c r="Y38" s="38">
        <v>2597.0874815850002</v>
      </c>
      <c r="Z38" s="38">
        <v>1095</v>
      </c>
      <c r="AA38" s="38">
        <v>1060.49</v>
      </c>
    </row>
    <row r="39" spans="1:27" ht="15.5" x14ac:dyDescent="0.25">
      <c r="A39" s="5" t="s">
        <v>34</v>
      </c>
      <c r="B39" s="12"/>
      <c r="C39" s="12"/>
      <c r="D39" s="12"/>
      <c r="E39" s="12"/>
      <c r="F39" s="12"/>
      <c r="G39" s="12"/>
      <c r="H39" s="12"/>
      <c r="I39" s="12"/>
      <c r="J39" s="33">
        <v>1707</v>
      </c>
      <c r="K39" s="33">
        <v>2451</v>
      </c>
      <c r="L39" s="34">
        <v>2540</v>
      </c>
      <c r="M39" s="35">
        <v>1715</v>
      </c>
      <c r="N39" s="12">
        <v>119</v>
      </c>
      <c r="O39" s="12">
        <v>129</v>
      </c>
      <c r="P39" s="36">
        <v>353</v>
      </c>
      <c r="Q39" s="37">
        <v>512</v>
      </c>
      <c r="R39" s="37">
        <v>629</v>
      </c>
      <c r="S39" s="37">
        <v>273</v>
      </c>
      <c r="T39" s="37">
        <v>341</v>
      </c>
      <c r="U39" s="38">
        <v>387</v>
      </c>
      <c r="V39" s="46">
        <v>588</v>
      </c>
      <c r="W39" s="43">
        <v>16968.63</v>
      </c>
      <c r="X39" s="43">
        <v>15505.73</v>
      </c>
      <c r="Y39" s="38">
        <v>12308.240000000002</v>
      </c>
      <c r="Z39" s="38">
        <v>12668.066890999999</v>
      </c>
      <c r="AA39" s="38">
        <v>11051.722997000001</v>
      </c>
    </row>
    <row r="40" spans="1:27" ht="15.5" x14ac:dyDescent="0.25">
      <c r="A40" s="5" t="s">
        <v>35</v>
      </c>
      <c r="B40" s="12"/>
      <c r="C40" s="12"/>
      <c r="D40" s="12"/>
      <c r="E40" s="12"/>
      <c r="F40" s="12"/>
      <c r="G40" s="12"/>
      <c r="H40" s="12"/>
      <c r="I40" s="12"/>
      <c r="J40" s="33">
        <v>106924</v>
      </c>
      <c r="K40" s="33">
        <v>139422</v>
      </c>
      <c r="L40" s="34">
        <v>189079</v>
      </c>
      <c r="M40" s="35">
        <v>211266</v>
      </c>
      <c r="N40" s="12">
        <v>252619</v>
      </c>
      <c r="O40" s="12">
        <v>322407</v>
      </c>
      <c r="P40" s="36">
        <v>390123</v>
      </c>
      <c r="Q40" s="37">
        <v>453332</v>
      </c>
      <c r="R40" s="37">
        <v>504477.00000000006</v>
      </c>
      <c r="S40" s="37">
        <v>542073</v>
      </c>
      <c r="T40" s="37">
        <v>598556</v>
      </c>
      <c r="U40" s="38">
        <v>698449</v>
      </c>
      <c r="V40" s="46">
        <v>766575</v>
      </c>
      <c r="W40" s="43">
        <v>17303.468483801</v>
      </c>
      <c r="X40" s="43">
        <v>50219.434917694001</v>
      </c>
      <c r="Y40" s="38">
        <v>48864.611133259998</v>
      </c>
      <c r="Z40" s="38">
        <v>54681.601696999998</v>
      </c>
      <c r="AA40" s="38">
        <v>41796.608798000001</v>
      </c>
    </row>
    <row r="41" spans="1:27" ht="15.5" x14ac:dyDescent="0.25">
      <c r="A41" s="5" t="s">
        <v>36</v>
      </c>
      <c r="B41" s="32">
        <v>39118</v>
      </c>
      <c r="C41" s="32">
        <v>43321</v>
      </c>
      <c r="D41" s="32">
        <v>42978</v>
      </c>
      <c r="E41" s="32">
        <v>49202</v>
      </c>
      <c r="F41" s="32">
        <v>57687</v>
      </c>
      <c r="G41" s="12">
        <v>0</v>
      </c>
      <c r="H41" s="12">
        <v>0</v>
      </c>
      <c r="I41" s="12">
        <v>0</v>
      </c>
      <c r="J41" s="33">
        <v>25233</v>
      </c>
      <c r="K41" s="33">
        <v>27339</v>
      </c>
      <c r="L41" s="34">
        <v>29335</v>
      </c>
      <c r="M41" s="35">
        <v>40892</v>
      </c>
      <c r="N41" s="12">
        <v>40147</v>
      </c>
      <c r="O41" s="12">
        <v>45552</v>
      </c>
      <c r="P41" s="36">
        <v>41566</v>
      </c>
      <c r="Q41" s="37">
        <v>31411</v>
      </c>
      <c r="R41" s="37">
        <v>45388</v>
      </c>
      <c r="S41" s="37">
        <v>41430</v>
      </c>
      <c r="T41" s="37">
        <v>18529</v>
      </c>
      <c r="U41" s="38">
        <v>13219</v>
      </c>
      <c r="V41" s="46">
        <v>12916</v>
      </c>
      <c r="W41" s="43">
        <v>862276.16284249001</v>
      </c>
      <c r="X41" s="43">
        <v>1361042.40900221</v>
      </c>
      <c r="Y41" s="38">
        <v>1530813.9906973201</v>
      </c>
      <c r="Z41" s="38">
        <v>1734995.7196549999</v>
      </c>
      <c r="AA41" s="38">
        <v>1944735.0533799999</v>
      </c>
    </row>
    <row r="42" spans="1:27" ht="15.5" x14ac:dyDescent="0.3">
      <c r="A42" s="3" t="s">
        <v>37</v>
      </c>
      <c r="B42" s="47"/>
      <c r="C42" s="47"/>
      <c r="D42" s="47"/>
      <c r="E42" s="47"/>
      <c r="F42" s="47"/>
      <c r="G42" s="21"/>
      <c r="H42" s="21"/>
      <c r="I42" s="21"/>
      <c r="J42" s="21"/>
      <c r="K42" s="21"/>
      <c r="L42" s="21">
        <v>19770</v>
      </c>
      <c r="M42" s="48">
        <v>27910</v>
      </c>
      <c r="N42" s="24">
        <v>39573</v>
      </c>
      <c r="O42" s="21">
        <v>33584</v>
      </c>
      <c r="P42" s="49">
        <v>36900</v>
      </c>
      <c r="Q42" s="24">
        <v>35424</v>
      </c>
      <c r="R42" s="24">
        <v>34354</v>
      </c>
      <c r="S42" s="24">
        <v>32619</v>
      </c>
      <c r="T42" s="24">
        <v>42992</v>
      </c>
      <c r="U42" s="24">
        <v>41372</v>
      </c>
      <c r="V42" s="24">
        <v>43831</v>
      </c>
      <c r="W42" s="26">
        <v>51079.841243023002</v>
      </c>
      <c r="X42" s="26">
        <v>52337.655800524</v>
      </c>
      <c r="Y42" s="28">
        <v>54563.650983797997</v>
      </c>
      <c r="Z42" s="28">
        <v>53356.816385999999</v>
      </c>
      <c r="AA42" s="28">
        <v>63042.461859000003</v>
      </c>
    </row>
    <row r="43" spans="1:27" ht="15.5" x14ac:dyDescent="0.3">
      <c r="A43" s="3" t="s">
        <v>38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>
        <v>69890</v>
      </c>
      <c r="M43" s="48">
        <v>85725</v>
      </c>
      <c r="N43" s="24">
        <v>107127</v>
      </c>
      <c r="O43" s="21">
        <v>129154</v>
      </c>
      <c r="P43" s="50">
        <v>149100</v>
      </c>
      <c r="Q43" s="24">
        <v>146053</v>
      </c>
      <c r="R43" s="24">
        <v>126439.00000000001</v>
      </c>
      <c r="S43" s="24">
        <v>138932</v>
      </c>
      <c r="T43" s="24">
        <v>140744</v>
      </c>
      <c r="U43" s="24">
        <v>136930</v>
      </c>
      <c r="V43" s="24">
        <v>147775</v>
      </c>
      <c r="W43" s="26">
        <v>143214.38993007099</v>
      </c>
      <c r="X43" s="26">
        <v>159063.81211991701</v>
      </c>
      <c r="Y43" s="28">
        <v>180388.773019866</v>
      </c>
      <c r="Z43" s="28">
        <v>197551.79732499999</v>
      </c>
      <c r="AA43" s="28">
        <v>210297.06926700001</v>
      </c>
    </row>
    <row r="44" spans="1:27" ht="15.5" x14ac:dyDescent="0.35">
      <c r="A44" s="5" t="s">
        <v>39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>
        <v>18487</v>
      </c>
      <c r="M44" s="51">
        <v>23596</v>
      </c>
      <c r="N44" s="52">
        <v>26625</v>
      </c>
      <c r="O44" s="12">
        <v>29767</v>
      </c>
      <c r="P44" s="53">
        <v>32800</v>
      </c>
      <c r="Q44" s="37">
        <v>35273</v>
      </c>
      <c r="R44" s="37">
        <v>28120.999999999996</v>
      </c>
      <c r="S44" s="37">
        <v>26491.000000000004</v>
      </c>
      <c r="T44" s="37">
        <v>23898</v>
      </c>
      <c r="U44" s="38">
        <v>24624</v>
      </c>
      <c r="V44" s="37">
        <v>20291</v>
      </c>
      <c r="W44" s="40">
        <v>16762.550468607002</v>
      </c>
      <c r="X44" s="40">
        <v>16868.391678766999</v>
      </c>
      <c r="Y44" s="38">
        <v>14036.051634616</v>
      </c>
      <c r="Z44" s="38">
        <v>16925.184969999998</v>
      </c>
      <c r="AA44" s="38">
        <v>15478.697834000001</v>
      </c>
    </row>
    <row r="45" spans="1:27" ht="15.5" x14ac:dyDescent="0.35">
      <c r="A45" s="5" t="s">
        <v>40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>
        <v>12248</v>
      </c>
      <c r="M45" s="51">
        <v>12572</v>
      </c>
      <c r="N45" s="52">
        <v>15436.000000000002</v>
      </c>
      <c r="O45" s="12">
        <v>20346</v>
      </c>
      <c r="P45" s="53">
        <v>19800</v>
      </c>
      <c r="Q45" s="37">
        <v>18733</v>
      </c>
      <c r="R45" s="37">
        <v>16344</v>
      </c>
      <c r="S45" s="37">
        <v>18919</v>
      </c>
      <c r="T45" s="37">
        <v>20788</v>
      </c>
      <c r="U45" s="38">
        <v>17430</v>
      </c>
      <c r="V45" s="37">
        <v>18354</v>
      </c>
      <c r="W45" s="40">
        <v>17251.059449384</v>
      </c>
      <c r="X45" s="40">
        <v>16709.913157990999</v>
      </c>
      <c r="Y45" s="38">
        <v>20597.077256434</v>
      </c>
      <c r="Z45" s="38">
        <v>20295.574538000001</v>
      </c>
      <c r="AA45" s="38">
        <v>21197.352526999999</v>
      </c>
    </row>
    <row r="46" spans="1:27" ht="15.5" x14ac:dyDescent="0.35">
      <c r="A46" s="5" t="s">
        <v>41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>
        <v>2460</v>
      </c>
      <c r="M46" s="51">
        <v>2327</v>
      </c>
      <c r="N46" s="52">
        <v>2986</v>
      </c>
      <c r="O46" s="12">
        <v>3239</v>
      </c>
      <c r="P46" s="53">
        <v>3200</v>
      </c>
      <c r="Q46" s="37">
        <v>3571</v>
      </c>
      <c r="R46" s="37">
        <v>3759.0000000000005</v>
      </c>
      <c r="S46" s="37">
        <v>4711</v>
      </c>
      <c r="T46" s="37">
        <v>5444</v>
      </c>
      <c r="U46" s="38">
        <v>5832</v>
      </c>
      <c r="V46" s="37">
        <v>5809</v>
      </c>
      <c r="W46" s="40">
        <v>4933.32</v>
      </c>
      <c r="X46" s="40">
        <v>5984.8173528999996</v>
      </c>
      <c r="Y46" s="38">
        <v>6054.689143353</v>
      </c>
      <c r="Z46" s="38">
        <v>6509.4557940000004</v>
      </c>
      <c r="AA46" s="38">
        <v>4961.7268000000004</v>
      </c>
    </row>
    <row r="47" spans="1:27" ht="15.5" x14ac:dyDescent="0.35">
      <c r="A47" s="5" t="s">
        <v>42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>
        <v>36695</v>
      </c>
      <c r="M47" s="51">
        <v>47230</v>
      </c>
      <c r="N47" s="52">
        <v>62079</v>
      </c>
      <c r="O47" s="12">
        <v>75801</v>
      </c>
      <c r="P47" s="53">
        <v>93300</v>
      </c>
      <c r="Q47" s="37">
        <v>88476</v>
      </c>
      <c r="R47" s="37">
        <v>78214</v>
      </c>
      <c r="S47" s="37">
        <v>88811</v>
      </c>
      <c r="T47" s="37">
        <v>90614</v>
      </c>
      <c r="U47" s="38">
        <v>89044</v>
      </c>
      <c r="V47" s="37">
        <v>103321</v>
      </c>
      <c r="W47" s="40">
        <v>104267.46001208</v>
      </c>
      <c r="X47" s="40">
        <v>119500.689930259</v>
      </c>
      <c r="Y47" s="38">
        <v>139700.954985463</v>
      </c>
      <c r="Z47" s="38">
        <v>153821.582023</v>
      </c>
      <c r="AA47" s="38">
        <v>168659.292105</v>
      </c>
    </row>
    <row r="48" spans="1:27" ht="15.5" x14ac:dyDescent="0.3">
      <c r="A48" s="3" t="s">
        <v>43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>
        <v>10498</v>
      </c>
      <c r="M48" s="48">
        <v>13692</v>
      </c>
      <c r="N48" s="24">
        <v>16308.000000000002</v>
      </c>
      <c r="O48" s="21">
        <v>16163</v>
      </c>
      <c r="P48" s="54">
        <v>18700</v>
      </c>
      <c r="Q48" s="24">
        <v>17667</v>
      </c>
      <c r="R48" s="24">
        <v>16166</v>
      </c>
      <c r="S48" s="24">
        <v>16583</v>
      </c>
      <c r="T48" s="24">
        <v>13954</v>
      </c>
      <c r="U48" s="24">
        <v>14030</v>
      </c>
      <c r="V48" s="24">
        <v>14454</v>
      </c>
      <c r="W48" s="26">
        <v>15759.975097779999</v>
      </c>
      <c r="X48" s="26">
        <v>20057.122857643</v>
      </c>
      <c r="Y48" s="28">
        <v>27487.283082545</v>
      </c>
      <c r="Z48" s="28">
        <v>30182.478338000001</v>
      </c>
      <c r="AA48" s="28">
        <v>37001.018853000001</v>
      </c>
    </row>
    <row r="49" spans="1:27" ht="15.5" x14ac:dyDescent="0.3">
      <c r="A49" s="3" t="s">
        <v>44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>
        <v>127458</v>
      </c>
      <c r="M49" s="48">
        <v>148121</v>
      </c>
      <c r="N49" s="24">
        <v>162194</v>
      </c>
      <c r="O49" s="21">
        <v>189272</v>
      </c>
      <c r="P49" s="54">
        <v>196600</v>
      </c>
      <c r="Q49" s="24">
        <v>196936</v>
      </c>
      <c r="R49" s="24">
        <v>186371</v>
      </c>
      <c r="S49" s="24">
        <v>194928</v>
      </c>
      <c r="T49" s="24">
        <v>198409</v>
      </c>
      <c r="U49" s="24">
        <v>186323</v>
      </c>
      <c r="V49" s="24">
        <v>186774</v>
      </c>
      <c r="W49" s="26">
        <v>200578.06912121599</v>
      </c>
      <c r="X49" s="26">
        <v>211566.178513527</v>
      </c>
      <c r="Y49" s="28">
        <v>251928.05244732101</v>
      </c>
      <c r="Z49" s="28">
        <v>259457.59905600001</v>
      </c>
      <c r="AA49" s="28">
        <v>280594.18296300003</v>
      </c>
    </row>
    <row r="50" spans="1:27" ht="15.5" x14ac:dyDescent="0.35">
      <c r="A50" s="5" t="s">
        <v>45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>
        <v>63282</v>
      </c>
      <c r="M50" s="51">
        <v>74824</v>
      </c>
      <c r="N50" s="52">
        <v>81751</v>
      </c>
      <c r="O50" s="12">
        <v>92612</v>
      </c>
      <c r="P50" s="55">
        <v>95400</v>
      </c>
      <c r="Q50" s="37">
        <v>97339</v>
      </c>
      <c r="R50" s="37">
        <v>89375</v>
      </c>
      <c r="S50" s="37">
        <v>96747</v>
      </c>
      <c r="T50" s="37">
        <v>98660</v>
      </c>
      <c r="U50" s="38">
        <v>83448</v>
      </c>
      <c r="V50" s="37">
        <v>84853</v>
      </c>
      <c r="W50" s="40">
        <v>85001.553775288994</v>
      </c>
      <c r="X50" s="40">
        <v>81723.438125803994</v>
      </c>
      <c r="Y50" s="38">
        <v>98857.030770315003</v>
      </c>
      <c r="Z50" s="38">
        <v>95497.783574000001</v>
      </c>
      <c r="AA50" s="38">
        <v>101828.29640799999</v>
      </c>
    </row>
    <row r="51" spans="1:27" ht="15.5" x14ac:dyDescent="0.35">
      <c r="A51" s="5" t="s">
        <v>46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>
        <v>1412</v>
      </c>
      <c r="M51" s="51">
        <v>1380</v>
      </c>
      <c r="N51" s="52">
        <v>1787</v>
      </c>
      <c r="O51" s="12">
        <v>1955</v>
      </c>
      <c r="P51" s="55">
        <v>2400</v>
      </c>
      <c r="Q51" s="37">
        <v>2174</v>
      </c>
      <c r="R51" s="37">
        <v>2074</v>
      </c>
      <c r="S51" s="37">
        <v>2374</v>
      </c>
      <c r="T51" s="37">
        <v>2077</v>
      </c>
      <c r="U51" s="38">
        <v>2181</v>
      </c>
      <c r="V51" s="37">
        <v>2429</v>
      </c>
      <c r="W51" s="40">
        <v>2769.2636534059998</v>
      </c>
      <c r="X51" s="40">
        <v>3730.5235122240001</v>
      </c>
      <c r="Y51" s="38">
        <v>4166.0042960849996</v>
      </c>
      <c r="Z51" s="38">
        <v>4295.1266919999998</v>
      </c>
      <c r="AA51" s="38">
        <v>4769.1522430000005</v>
      </c>
    </row>
    <row r="52" spans="1:27" ht="15.5" x14ac:dyDescent="0.35">
      <c r="A52" s="5" t="s">
        <v>47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>
        <v>10988</v>
      </c>
      <c r="M52" s="51">
        <v>10381</v>
      </c>
      <c r="N52" s="52">
        <v>11387</v>
      </c>
      <c r="O52" s="12">
        <v>20408</v>
      </c>
      <c r="P52" s="55">
        <v>19600</v>
      </c>
      <c r="Q52" s="37">
        <v>20697</v>
      </c>
      <c r="R52" s="37">
        <v>19496</v>
      </c>
      <c r="S52" s="37">
        <v>22814</v>
      </c>
      <c r="T52" s="37">
        <v>23699</v>
      </c>
      <c r="U52" s="38">
        <v>25820</v>
      </c>
      <c r="V52" s="37">
        <v>27251</v>
      </c>
      <c r="W52" s="40">
        <v>41554.812775188999</v>
      </c>
      <c r="X52" s="40">
        <v>38689.284986792001</v>
      </c>
      <c r="Y52" s="38">
        <v>45038.317967686002</v>
      </c>
      <c r="Z52" s="38">
        <v>47526.200467000002</v>
      </c>
      <c r="AA52" s="38">
        <v>49845.491841000003</v>
      </c>
    </row>
    <row r="53" spans="1:27" ht="15.5" x14ac:dyDescent="0.35">
      <c r="A53" s="5" t="s">
        <v>48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>
        <v>51776</v>
      </c>
      <c r="M53" s="51">
        <v>61537</v>
      </c>
      <c r="N53" s="52">
        <v>67270</v>
      </c>
      <c r="O53" s="12">
        <v>74297</v>
      </c>
      <c r="P53" s="55">
        <v>79200</v>
      </c>
      <c r="Q53" s="37">
        <v>76726</v>
      </c>
      <c r="R53" s="37">
        <v>75426</v>
      </c>
      <c r="S53" s="37">
        <v>72994</v>
      </c>
      <c r="T53" s="37">
        <v>73972</v>
      </c>
      <c r="U53" s="38">
        <v>74874</v>
      </c>
      <c r="V53" s="37">
        <v>72241</v>
      </c>
      <c r="W53" s="40">
        <v>71252.438917331994</v>
      </c>
      <c r="X53" s="40">
        <v>87422.931888706997</v>
      </c>
      <c r="Y53" s="38">
        <v>103866.69941323499</v>
      </c>
      <c r="Z53" s="38">
        <v>112138.488323</v>
      </c>
      <c r="AA53" s="38">
        <v>124151.24247</v>
      </c>
    </row>
    <row r="54" spans="1:27" ht="15.5" x14ac:dyDescent="0.3">
      <c r="A54" s="3" t="s">
        <v>49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>
        <v>6857</v>
      </c>
      <c r="M54" s="48">
        <v>7590</v>
      </c>
      <c r="N54" s="24">
        <v>8328</v>
      </c>
      <c r="O54" s="12">
        <v>9603</v>
      </c>
      <c r="P54" s="54">
        <v>10200</v>
      </c>
      <c r="Q54" s="24">
        <v>10247</v>
      </c>
      <c r="R54" s="24">
        <v>10038</v>
      </c>
      <c r="S54" s="24">
        <v>10681</v>
      </c>
      <c r="T54" s="24">
        <v>11074</v>
      </c>
      <c r="U54" s="24">
        <v>10813</v>
      </c>
      <c r="V54" s="24">
        <v>11404</v>
      </c>
      <c r="W54" s="26">
        <v>10330.316126984</v>
      </c>
      <c r="X54" s="26">
        <v>11310.630840289999</v>
      </c>
      <c r="Y54" s="28">
        <v>12239.232734077999</v>
      </c>
      <c r="Z54" s="28">
        <v>12518.569485</v>
      </c>
      <c r="AA54" s="28">
        <v>13362.528087000001</v>
      </c>
    </row>
    <row r="55" spans="1:27" ht="15.5" x14ac:dyDescent="0.3">
      <c r="A55" s="3" t="s">
        <v>50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>
        <v>5185</v>
      </c>
      <c r="M55" s="48">
        <v>6113</v>
      </c>
      <c r="N55" s="24">
        <v>7465.0000000000009</v>
      </c>
      <c r="O55" s="12">
        <v>8862</v>
      </c>
      <c r="P55" s="54">
        <v>9500</v>
      </c>
      <c r="Q55" s="24">
        <v>10049</v>
      </c>
      <c r="R55" s="24">
        <v>10028</v>
      </c>
      <c r="S55" s="24">
        <v>10510</v>
      </c>
      <c r="T55" s="24">
        <v>11386</v>
      </c>
      <c r="U55" s="24">
        <v>11968</v>
      </c>
      <c r="V55" s="24">
        <v>12795</v>
      </c>
      <c r="W55" s="26">
        <v>13362.676005470999</v>
      </c>
      <c r="X55" s="26">
        <v>17697.194081369998</v>
      </c>
      <c r="Y55" s="28">
        <v>22925.296837221002</v>
      </c>
      <c r="Z55" s="28">
        <v>25804.996756</v>
      </c>
      <c r="AA55" s="28">
        <v>29022.660381999998</v>
      </c>
    </row>
    <row r="56" spans="1:27" ht="15.5" x14ac:dyDescent="0.3">
      <c r="A56" s="3" t="s">
        <v>51</v>
      </c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>
        <v>20095</v>
      </c>
      <c r="M56" s="48">
        <v>23868</v>
      </c>
      <c r="N56" s="24">
        <v>28811</v>
      </c>
      <c r="O56" s="12">
        <v>31911</v>
      </c>
      <c r="P56" s="54">
        <v>34300</v>
      </c>
      <c r="Q56" s="24">
        <v>34918</v>
      </c>
      <c r="R56" s="24">
        <v>33719</v>
      </c>
      <c r="S56" s="24">
        <v>30825</v>
      </c>
      <c r="T56" s="24">
        <v>30326</v>
      </c>
      <c r="U56" s="24">
        <v>30230</v>
      </c>
      <c r="V56" s="24">
        <v>33986</v>
      </c>
      <c r="W56" s="26">
        <v>36849.371166017001</v>
      </c>
      <c r="X56" s="26">
        <v>41565.033750773</v>
      </c>
      <c r="Y56" s="28">
        <v>46451.494322781</v>
      </c>
      <c r="Z56" s="28">
        <v>51173.685290000001</v>
      </c>
      <c r="AA56" s="28">
        <v>55634.010322000002</v>
      </c>
    </row>
    <row r="57" spans="1:27" ht="15.5" x14ac:dyDescent="0.3">
      <c r="A57" s="3" t="s">
        <v>52</v>
      </c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>
        <v>58095</v>
      </c>
      <c r="M57" s="48">
        <v>59110</v>
      </c>
      <c r="N57" s="24">
        <v>67331</v>
      </c>
      <c r="O57" s="21">
        <v>55646</v>
      </c>
      <c r="P57" s="54">
        <v>55200</v>
      </c>
      <c r="Q57" s="24">
        <v>44145</v>
      </c>
      <c r="R57" s="24">
        <v>48785</v>
      </c>
      <c r="S57" s="24">
        <v>46575</v>
      </c>
      <c r="T57" s="24">
        <v>53598</v>
      </c>
      <c r="U57" s="24">
        <v>52466</v>
      </c>
      <c r="V57" s="24">
        <v>60025</v>
      </c>
      <c r="W57" s="26">
        <v>67962.873526701005</v>
      </c>
      <c r="X57" s="26">
        <v>148210.988872455</v>
      </c>
      <c r="Y57" s="28">
        <v>136191.920982707</v>
      </c>
      <c r="Z57" s="28">
        <v>144756.14259900001</v>
      </c>
      <c r="AA57" s="28">
        <v>172307.51562600001</v>
      </c>
    </row>
    <row r="58" spans="1:27" ht="15.5" x14ac:dyDescent="0.3">
      <c r="A58" s="3" t="s">
        <v>53</v>
      </c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>
        <v>91912</v>
      </c>
      <c r="M58" s="48">
        <v>99483</v>
      </c>
      <c r="N58" s="24">
        <v>121371</v>
      </c>
      <c r="O58" s="21">
        <v>157110</v>
      </c>
      <c r="P58" s="54">
        <v>152700</v>
      </c>
      <c r="Q58" s="24">
        <v>153368</v>
      </c>
      <c r="R58" s="24">
        <v>150111</v>
      </c>
      <c r="S58" s="24">
        <v>154874</v>
      </c>
      <c r="T58" s="24">
        <v>169217</v>
      </c>
      <c r="U58" s="24">
        <v>173231</v>
      </c>
      <c r="V58" s="24">
        <v>177799</v>
      </c>
      <c r="W58" s="26">
        <v>191240.135436034</v>
      </c>
      <c r="X58" s="26">
        <v>215902.19605792401</v>
      </c>
      <c r="Y58" s="28">
        <v>238082.12361912799</v>
      </c>
      <c r="Z58" s="28">
        <v>263301.78006600001</v>
      </c>
      <c r="AA58" s="28">
        <v>292402.21801499999</v>
      </c>
    </row>
    <row r="59" spans="1:27" ht="15.5" x14ac:dyDescent="0.35">
      <c r="A59" s="5" t="s">
        <v>54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>
        <v>11195</v>
      </c>
      <c r="M59" s="51">
        <v>9658</v>
      </c>
      <c r="N59" s="52">
        <v>17911</v>
      </c>
      <c r="O59" s="12">
        <v>25863</v>
      </c>
      <c r="P59" s="55">
        <v>22200</v>
      </c>
      <c r="Q59" s="37">
        <v>22595</v>
      </c>
      <c r="R59" s="37">
        <v>25356</v>
      </c>
      <c r="S59" s="37">
        <v>23984</v>
      </c>
      <c r="T59" s="37">
        <v>26848</v>
      </c>
      <c r="U59" s="38">
        <v>34112</v>
      </c>
      <c r="V59" s="37">
        <v>37894</v>
      </c>
      <c r="W59" s="40">
        <v>29327.083716699999</v>
      </c>
      <c r="X59" s="40">
        <v>33893.961155814002</v>
      </c>
      <c r="Y59" s="38">
        <v>32540.021295273</v>
      </c>
      <c r="Z59" s="38">
        <v>31142.935559000001</v>
      </c>
      <c r="AA59" s="38">
        <v>33023.43086</v>
      </c>
    </row>
    <row r="60" spans="1:27" ht="15.5" x14ac:dyDescent="0.35">
      <c r="A60" s="5" t="s">
        <v>55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>
        <v>38840</v>
      </c>
      <c r="M60" s="51">
        <v>44608</v>
      </c>
      <c r="N60" s="52">
        <v>48357</v>
      </c>
      <c r="O60" s="12">
        <v>51303</v>
      </c>
      <c r="P60" s="55">
        <v>47500</v>
      </c>
      <c r="Q60" s="37">
        <v>50094</v>
      </c>
      <c r="R60" s="37">
        <v>45990</v>
      </c>
      <c r="S60" s="37">
        <v>44726</v>
      </c>
      <c r="T60" s="37">
        <v>50814</v>
      </c>
      <c r="U60" s="38">
        <v>48501</v>
      </c>
      <c r="V60" s="37">
        <v>48875</v>
      </c>
      <c r="W60" s="40">
        <v>52132.646180046999</v>
      </c>
      <c r="X60" s="40">
        <v>65792.350757829001</v>
      </c>
      <c r="Y60" s="38">
        <v>78278.658091863006</v>
      </c>
      <c r="Z60" s="38">
        <v>87568.830891999998</v>
      </c>
      <c r="AA60" s="38">
        <v>92078.319613</v>
      </c>
    </row>
    <row r="61" spans="1:27" ht="15.5" x14ac:dyDescent="0.35">
      <c r="A61" s="5" t="s">
        <v>56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>
        <v>14445</v>
      </c>
      <c r="M61" s="51">
        <v>13895</v>
      </c>
      <c r="N61" s="52">
        <v>15121</v>
      </c>
      <c r="O61" s="12">
        <v>38485</v>
      </c>
      <c r="P61" s="55">
        <v>40100</v>
      </c>
      <c r="Q61" s="37">
        <v>34243</v>
      </c>
      <c r="R61" s="37">
        <v>37837</v>
      </c>
      <c r="S61" s="37">
        <v>43019</v>
      </c>
      <c r="T61" s="37">
        <v>39455</v>
      </c>
      <c r="U61" s="38">
        <v>37445</v>
      </c>
      <c r="V61" s="37">
        <v>39564</v>
      </c>
      <c r="W61" s="40">
        <v>43178.186512269996</v>
      </c>
      <c r="X61" s="40">
        <v>23120.512521706001</v>
      </c>
      <c r="Y61" s="38">
        <v>20327.031278990999</v>
      </c>
      <c r="Z61" s="38">
        <v>30373.414737999999</v>
      </c>
      <c r="AA61" s="38">
        <v>35751.524828000001</v>
      </c>
    </row>
    <row r="62" spans="1:27" ht="15.5" x14ac:dyDescent="0.35">
      <c r="A62" s="5" t="s">
        <v>42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>
        <v>27432</v>
      </c>
      <c r="M62" s="51">
        <v>31322</v>
      </c>
      <c r="N62" s="52">
        <v>39982</v>
      </c>
      <c r="O62" s="12">
        <v>41458</v>
      </c>
      <c r="P62" s="55">
        <v>42900</v>
      </c>
      <c r="Q62" s="37">
        <v>46437</v>
      </c>
      <c r="R62" s="37">
        <v>40928</v>
      </c>
      <c r="S62" s="37">
        <v>43146</v>
      </c>
      <c r="T62" s="37">
        <v>52100</v>
      </c>
      <c r="U62" s="38">
        <v>53173</v>
      </c>
      <c r="V62" s="37">
        <v>51466</v>
      </c>
      <c r="W62" s="40">
        <v>66602.219027016996</v>
      </c>
      <c r="X62" s="40">
        <v>93095.371622574996</v>
      </c>
      <c r="Y62" s="38">
        <v>106936.412953001</v>
      </c>
      <c r="Z62" s="38">
        <v>114216.598879</v>
      </c>
      <c r="AA62" s="38">
        <v>131548.942714</v>
      </c>
    </row>
    <row r="63" spans="1:27" ht="15.5" x14ac:dyDescent="0.3">
      <c r="A63" s="3" t="s">
        <v>57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>
        <v>19074</v>
      </c>
      <c r="M63" s="48">
        <v>24696</v>
      </c>
      <c r="N63" s="24">
        <v>30249</v>
      </c>
      <c r="O63" s="21">
        <v>34859</v>
      </c>
      <c r="P63" s="54">
        <v>36600</v>
      </c>
      <c r="Q63" s="24">
        <v>36307</v>
      </c>
      <c r="R63" s="24">
        <v>35612</v>
      </c>
      <c r="S63" s="24">
        <v>40497</v>
      </c>
      <c r="T63" s="24">
        <v>43624</v>
      </c>
      <c r="U63" s="24">
        <v>47029</v>
      </c>
      <c r="V63" s="24">
        <v>49523</v>
      </c>
      <c r="W63" s="26">
        <v>61748.405110336003</v>
      </c>
      <c r="X63" s="26">
        <v>75954.243104873996</v>
      </c>
      <c r="Y63" s="28">
        <v>87756.848876813005</v>
      </c>
      <c r="Z63" s="28">
        <v>97032.429124999995</v>
      </c>
      <c r="AA63" s="28">
        <v>106098.053512</v>
      </c>
    </row>
    <row r="64" spans="1:27" ht="15.5" x14ac:dyDescent="0.3">
      <c r="A64" s="3" t="s">
        <v>58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>
        <v>4808</v>
      </c>
      <c r="M64" s="48">
        <v>5610</v>
      </c>
      <c r="N64" s="24">
        <v>6467</v>
      </c>
      <c r="O64" s="21">
        <v>8362</v>
      </c>
      <c r="P64" s="54">
        <v>8900</v>
      </c>
      <c r="Q64" s="24">
        <v>8678</v>
      </c>
      <c r="R64" s="24">
        <v>8095</v>
      </c>
      <c r="S64" s="24">
        <v>8237</v>
      </c>
      <c r="T64" s="24">
        <v>10187</v>
      </c>
      <c r="U64" s="24">
        <v>8686</v>
      </c>
      <c r="V64" s="24">
        <v>8785</v>
      </c>
      <c r="W64" s="26">
        <v>5713.5050089799997</v>
      </c>
      <c r="X64" s="26">
        <v>6607.1445212959998</v>
      </c>
      <c r="Y64" s="28">
        <v>10985.373505588001</v>
      </c>
      <c r="Z64" s="28">
        <v>12516.87631</v>
      </c>
      <c r="AA64" s="28">
        <v>13489.70621</v>
      </c>
    </row>
    <row r="65" spans="1:27" ht="15.5" x14ac:dyDescent="0.3">
      <c r="A65" s="3" t="s">
        <v>59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>
        <v>29769</v>
      </c>
      <c r="M65" s="48">
        <v>33983</v>
      </c>
      <c r="N65" s="24">
        <v>42469</v>
      </c>
      <c r="O65" s="21">
        <v>51087</v>
      </c>
      <c r="P65" s="54">
        <v>55100</v>
      </c>
      <c r="Q65" s="24">
        <v>55190</v>
      </c>
      <c r="R65" s="24">
        <v>52860</v>
      </c>
      <c r="S65" s="24">
        <v>53210</v>
      </c>
      <c r="T65" s="24">
        <v>55589</v>
      </c>
      <c r="U65" s="24">
        <v>59309</v>
      </c>
      <c r="V65" s="24">
        <v>57993</v>
      </c>
      <c r="W65" s="26">
        <v>44765.052519037999</v>
      </c>
      <c r="X65" s="26">
        <v>51177.497065472002</v>
      </c>
      <c r="Y65" s="28">
        <v>62104.923189996996</v>
      </c>
      <c r="Z65" s="28">
        <v>61614.366125</v>
      </c>
      <c r="AA65" s="28">
        <v>63201.695982999998</v>
      </c>
    </row>
    <row r="66" spans="1:27" ht="15.5" x14ac:dyDescent="0.3">
      <c r="A66" s="3" t="s">
        <v>60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>
        <v>185209</v>
      </c>
      <c r="M66" s="48">
        <v>237084</v>
      </c>
      <c r="N66" s="24">
        <v>297065</v>
      </c>
      <c r="O66" s="21">
        <v>338145</v>
      </c>
      <c r="P66" s="54">
        <v>366700</v>
      </c>
      <c r="Q66" s="24">
        <v>397314</v>
      </c>
      <c r="R66" s="24">
        <v>409324</v>
      </c>
      <c r="S66" s="24">
        <v>413256.00000000006</v>
      </c>
      <c r="T66" s="24">
        <v>379180</v>
      </c>
      <c r="U66" s="24">
        <v>347906</v>
      </c>
      <c r="V66" s="24">
        <v>334078</v>
      </c>
      <c r="W66" s="26">
        <v>277869.65928235301</v>
      </c>
      <c r="X66" s="26">
        <v>311248.92039139703</v>
      </c>
      <c r="Y66" s="28">
        <v>376757.33247261401</v>
      </c>
      <c r="Z66" s="28">
        <v>428244.49292799999</v>
      </c>
      <c r="AA66" s="28">
        <v>478578.48105599999</v>
      </c>
    </row>
    <row r="67" spans="1:27" ht="15.5" x14ac:dyDescent="0.35">
      <c r="A67" s="5" t="s">
        <v>61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>
        <v>145161</v>
      </c>
      <c r="M67" s="51">
        <v>180234</v>
      </c>
      <c r="N67" s="52">
        <v>222121</v>
      </c>
      <c r="O67" s="12">
        <v>254709</v>
      </c>
      <c r="P67" s="55">
        <v>270900</v>
      </c>
      <c r="Q67" s="37">
        <v>296723</v>
      </c>
      <c r="R67" s="37">
        <v>309025</v>
      </c>
      <c r="S67" s="37">
        <v>322283</v>
      </c>
      <c r="T67" s="37">
        <v>290818</v>
      </c>
      <c r="U67" s="38">
        <v>265599</v>
      </c>
      <c r="V67" s="37">
        <v>245072</v>
      </c>
      <c r="W67" s="40">
        <v>186191.34311812001</v>
      </c>
      <c r="X67" s="40">
        <v>211111.87508431301</v>
      </c>
      <c r="Y67" s="38">
        <v>258043.38953832301</v>
      </c>
      <c r="Z67" s="38">
        <v>304597.87134100002</v>
      </c>
      <c r="AA67" s="38">
        <v>325440.08128099999</v>
      </c>
    </row>
    <row r="68" spans="1:27" ht="15.5" x14ac:dyDescent="0.35">
      <c r="A68" s="5" t="s">
        <v>62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>
        <v>40048</v>
      </c>
      <c r="M68" s="51">
        <v>56849</v>
      </c>
      <c r="N68" s="52">
        <v>74944</v>
      </c>
      <c r="O68" s="12">
        <v>83436</v>
      </c>
      <c r="P68" s="55">
        <v>95900</v>
      </c>
      <c r="Q68" s="37">
        <v>100591</v>
      </c>
      <c r="R68" s="37">
        <v>100299</v>
      </c>
      <c r="S68" s="37">
        <v>90973</v>
      </c>
      <c r="T68" s="37">
        <v>88362</v>
      </c>
      <c r="U68" s="38">
        <v>82307</v>
      </c>
      <c r="V68" s="37">
        <v>89006</v>
      </c>
      <c r="W68" s="40">
        <v>91678.316164232994</v>
      </c>
      <c r="X68" s="40">
        <v>100137.045307084</v>
      </c>
      <c r="Y68" s="38">
        <v>118713.942934291</v>
      </c>
      <c r="Z68" s="38">
        <v>123646.621587</v>
      </c>
      <c r="AA68" s="38">
        <v>153138.399775</v>
      </c>
    </row>
    <row r="69" spans="1:27" ht="15.5" x14ac:dyDescent="0.3">
      <c r="A69" s="3" t="s">
        <v>63</v>
      </c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>
        <v>86364</v>
      </c>
      <c r="M69" s="48">
        <v>102992</v>
      </c>
      <c r="N69" s="24">
        <v>124059.99999999999</v>
      </c>
      <c r="O69" s="21">
        <v>138116</v>
      </c>
      <c r="P69" s="54">
        <v>147300</v>
      </c>
      <c r="Q69" s="24">
        <v>154475</v>
      </c>
      <c r="R69" s="24">
        <v>146872</v>
      </c>
      <c r="S69" s="24">
        <v>150338</v>
      </c>
      <c r="T69" s="24">
        <v>157976</v>
      </c>
      <c r="U69" s="24">
        <v>162680</v>
      </c>
      <c r="V69" s="24">
        <v>137233</v>
      </c>
      <c r="W69" s="26">
        <v>149368.082094668</v>
      </c>
      <c r="X69" s="26">
        <v>170100.84664105001</v>
      </c>
      <c r="Y69" s="28">
        <v>193916.351502423</v>
      </c>
      <c r="Z69" s="28">
        <v>223985.55811400001</v>
      </c>
      <c r="AA69" s="28">
        <v>274665.58410199999</v>
      </c>
    </row>
    <row r="70" spans="1:27" ht="15.5" x14ac:dyDescent="0.35">
      <c r="A70" s="5" t="s">
        <v>64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>
        <v>24576</v>
      </c>
      <c r="M70" s="51">
        <v>28637</v>
      </c>
      <c r="N70" s="52">
        <v>32618</v>
      </c>
      <c r="O70" s="12">
        <v>32539</v>
      </c>
      <c r="P70" s="55">
        <v>37700</v>
      </c>
      <c r="Q70" s="37">
        <v>38149</v>
      </c>
      <c r="R70" s="37">
        <v>33968</v>
      </c>
      <c r="S70" s="37">
        <v>34659</v>
      </c>
      <c r="T70" s="37">
        <v>36895</v>
      </c>
      <c r="U70" s="38">
        <v>32895</v>
      </c>
      <c r="V70" s="37">
        <v>27488</v>
      </c>
      <c r="W70" s="40">
        <v>36359.369207700001</v>
      </c>
      <c r="X70" s="40">
        <v>40027.328502329001</v>
      </c>
      <c r="Y70" s="38">
        <v>46034.003057920003</v>
      </c>
      <c r="Z70" s="38">
        <v>52122.773882000001</v>
      </c>
      <c r="AA70" s="38">
        <v>61108.901119000002</v>
      </c>
    </row>
    <row r="71" spans="1:27" ht="15.5" x14ac:dyDescent="0.35">
      <c r="A71" s="5" t="s">
        <v>42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>
        <v>61788</v>
      </c>
      <c r="M71" s="51">
        <v>74355</v>
      </c>
      <c r="N71" s="52">
        <v>91441</v>
      </c>
      <c r="O71" s="12">
        <v>105576</v>
      </c>
      <c r="P71" s="55">
        <v>109600</v>
      </c>
      <c r="Q71" s="37">
        <v>116326</v>
      </c>
      <c r="R71" s="37">
        <v>112904</v>
      </c>
      <c r="S71" s="37">
        <v>115680</v>
      </c>
      <c r="T71" s="37">
        <v>121081</v>
      </c>
      <c r="U71" s="38">
        <v>129785</v>
      </c>
      <c r="V71" s="37">
        <v>109745</v>
      </c>
      <c r="W71" s="40">
        <v>113008.712886968</v>
      </c>
      <c r="X71" s="40">
        <v>130073.518138721</v>
      </c>
      <c r="Y71" s="38">
        <v>147882.348444503</v>
      </c>
      <c r="Z71" s="38">
        <v>171862.78423200001</v>
      </c>
      <c r="AA71" s="38">
        <v>213556.68298300001</v>
      </c>
    </row>
    <row r="72" spans="1:27" ht="15.5" x14ac:dyDescent="0.3">
      <c r="A72" s="3" t="s">
        <v>65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>
        <v>41911</v>
      </c>
      <c r="M72" s="48">
        <v>50824</v>
      </c>
      <c r="N72" s="24">
        <v>58626</v>
      </c>
      <c r="O72" s="21">
        <v>64965</v>
      </c>
      <c r="P72" s="54">
        <v>67700</v>
      </c>
      <c r="Q72" s="24">
        <v>67320</v>
      </c>
      <c r="R72" s="24">
        <v>69988</v>
      </c>
      <c r="S72" s="24">
        <v>71207</v>
      </c>
      <c r="T72" s="24">
        <v>78494</v>
      </c>
      <c r="U72" s="24">
        <v>81472</v>
      </c>
      <c r="V72" s="24">
        <v>86153</v>
      </c>
      <c r="W72" s="26">
        <v>84872.247319714006</v>
      </c>
      <c r="X72" s="26">
        <v>93060.815406171998</v>
      </c>
      <c r="Y72" s="28">
        <v>110458.50917599601</v>
      </c>
      <c r="Z72" s="28">
        <v>113753.231218</v>
      </c>
      <c r="AA72" s="28">
        <v>127140.72736200001</v>
      </c>
    </row>
    <row r="73" spans="1:27" ht="15.5" x14ac:dyDescent="0.3">
      <c r="A73" s="3" t="s">
        <v>66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>
        <v>35723</v>
      </c>
      <c r="M73" s="48">
        <v>45869</v>
      </c>
      <c r="N73" s="24">
        <v>55060</v>
      </c>
      <c r="O73" s="21">
        <v>67959</v>
      </c>
      <c r="P73" s="54">
        <v>71700</v>
      </c>
      <c r="Q73" s="24">
        <v>69371</v>
      </c>
      <c r="R73" s="24">
        <v>67374</v>
      </c>
      <c r="S73" s="24">
        <v>68088</v>
      </c>
      <c r="T73" s="24">
        <v>67951</v>
      </c>
      <c r="U73" s="24">
        <v>61310</v>
      </c>
      <c r="V73" s="24">
        <v>60910</v>
      </c>
      <c r="W73" s="26">
        <v>70140.808601772995</v>
      </c>
      <c r="X73" s="26">
        <v>73749.023567122</v>
      </c>
      <c r="Y73" s="28">
        <v>92254.733993169997</v>
      </c>
      <c r="Z73" s="28">
        <v>87031.287303999998</v>
      </c>
      <c r="AA73" s="28">
        <v>103392.164426</v>
      </c>
    </row>
    <row r="74" spans="1:27" ht="15.5" x14ac:dyDescent="0.3">
      <c r="A74" s="3" t="s">
        <v>67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>
        <v>43506</v>
      </c>
      <c r="M74" s="48">
        <v>52440</v>
      </c>
      <c r="N74" s="24">
        <v>56137</v>
      </c>
      <c r="O74" s="21">
        <v>58804.999999999993</v>
      </c>
      <c r="P74" s="54">
        <v>72100</v>
      </c>
      <c r="Q74" s="24">
        <v>75575</v>
      </c>
      <c r="R74" s="24">
        <v>78512</v>
      </c>
      <c r="S74" s="24">
        <v>85461</v>
      </c>
      <c r="T74" s="24">
        <v>92992</v>
      </c>
      <c r="U74" s="24">
        <v>100091</v>
      </c>
      <c r="V74" s="24">
        <v>101379</v>
      </c>
      <c r="W74" s="26">
        <v>95881.404309442994</v>
      </c>
      <c r="X74" s="26">
        <v>118547.824634018</v>
      </c>
      <c r="Y74" s="28">
        <v>131412.13780322199</v>
      </c>
      <c r="Z74" s="28">
        <v>142056.67460100001</v>
      </c>
      <c r="AA74" s="28">
        <v>163801.84886200001</v>
      </c>
    </row>
    <row r="75" spans="1:27" ht="15.5" x14ac:dyDescent="0.3">
      <c r="A75" s="3" t="s">
        <v>68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>
        <v>482189</v>
      </c>
      <c r="M75" s="48">
        <v>579968</v>
      </c>
      <c r="N75" s="24">
        <v>688707</v>
      </c>
      <c r="O75" s="21">
        <v>794608</v>
      </c>
      <c r="P75" s="54">
        <v>887300</v>
      </c>
      <c r="Q75" s="24">
        <v>965495.99999999988</v>
      </c>
      <c r="R75" s="24">
        <v>900650</v>
      </c>
      <c r="S75" s="24">
        <v>879608</v>
      </c>
      <c r="T75" s="24">
        <v>957886</v>
      </c>
      <c r="U75" s="24">
        <v>1025154</v>
      </c>
      <c r="V75" s="24">
        <v>1007085</v>
      </c>
      <c r="W75" s="26">
        <v>1115313.20437124</v>
      </c>
      <c r="X75" s="26">
        <v>1234558.74753552</v>
      </c>
      <c r="Y75" s="28">
        <v>1280368.43309656</v>
      </c>
      <c r="Z75" s="28">
        <v>1312607.027676</v>
      </c>
      <c r="AA75" s="28">
        <v>1402229.826172</v>
      </c>
    </row>
    <row r="76" spans="1:27" ht="15.5" x14ac:dyDescent="0.35">
      <c r="A76" s="5" t="s">
        <v>69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>
        <v>240343</v>
      </c>
      <c r="M76" s="51">
        <v>306539</v>
      </c>
      <c r="N76" s="52">
        <v>378560</v>
      </c>
      <c r="O76" s="12">
        <v>461135.00000000006</v>
      </c>
      <c r="P76" s="55">
        <v>529600</v>
      </c>
      <c r="Q76" s="37">
        <v>586508</v>
      </c>
      <c r="R76" s="37">
        <v>525292</v>
      </c>
      <c r="S76" s="37">
        <v>512113</v>
      </c>
      <c r="T76" s="37">
        <v>539667</v>
      </c>
      <c r="U76" s="38">
        <v>562711</v>
      </c>
      <c r="V76" s="37">
        <v>551731</v>
      </c>
      <c r="W76" s="40">
        <v>576804.75511621404</v>
      </c>
      <c r="X76" s="40">
        <v>624479.40852036001</v>
      </c>
      <c r="Y76" s="38">
        <v>632276.96809948096</v>
      </c>
      <c r="Z76" s="38">
        <v>651954.99509500002</v>
      </c>
      <c r="AA76" s="38">
        <v>754948.36424100003</v>
      </c>
    </row>
    <row r="77" spans="1:27" ht="15.5" x14ac:dyDescent="0.35">
      <c r="A77" s="5" t="s">
        <v>70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>
        <v>97729</v>
      </c>
      <c r="M77" s="51">
        <v>92031</v>
      </c>
      <c r="N77" s="52">
        <v>92896</v>
      </c>
      <c r="O77" s="12">
        <v>86805</v>
      </c>
      <c r="P77" s="55">
        <v>87000</v>
      </c>
      <c r="Q77" s="37">
        <v>90650</v>
      </c>
      <c r="R77" s="37">
        <v>84925</v>
      </c>
      <c r="S77" s="37">
        <v>84398</v>
      </c>
      <c r="T77" s="37">
        <v>89964</v>
      </c>
      <c r="U77" s="38">
        <v>130960</v>
      </c>
      <c r="V77" s="37">
        <v>103550</v>
      </c>
      <c r="W77" s="40">
        <v>110268.94989379399</v>
      </c>
      <c r="X77" s="40">
        <v>128906.27389059401</v>
      </c>
      <c r="Y77" s="38">
        <v>145823.92177360001</v>
      </c>
      <c r="Z77" s="38">
        <v>122703.595128</v>
      </c>
      <c r="AA77" s="38">
        <v>111840.786259</v>
      </c>
    </row>
    <row r="78" spans="1:27" ht="15.5" x14ac:dyDescent="0.35">
      <c r="A78" s="5" t="s">
        <v>71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>
        <v>82359</v>
      </c>
      <c r="M78" s="51">
        <v>106255</v>
      </c>
      <c r="N78" s="52">
        <v>126980</v>
      </c>
      <c r="O78" s="12">
        <v>148531</v>
      </c>
      <c r="P78" s="55">
        <v>164800</v>
      </c>
      <c r="Q78" s="37">
        <v>177848</v>
      </c>
      <c r="R78" s="37">
        <v>180178</v>
      </c>
      <c r="S78" s="37">
        <v>170705</v>
      </c>
      <c r="T78" s="37">
        <v>182246</v>
      </c>
      <c r="U78" s="38">
        <v>186529</v>
      </c>
      <c r="V78" s="37">
        <v>201550</v>
      </c>
      <c r="W78" s="40">
        <v>13789.9</v>
      </c>
      <c r="X78" s="40">
        <v>283073.61892531498</v>
      </c>
      <c r="Y78" s="38">
        <v>305965.82625077397</v>
      </c>
      <c r="Z78" s="38">
        <v>333166.023636</v>
      </c>
      <c r="AA78" s="38">
        <v>338571.09505</v>
      </c>
    </row>
    <row r="79" spans="1:27" ht="15.5" x14ac:dyDescent="0.35">
      <c r="A79" s="5" t="s">
        <v>72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>
        <v>61757</v>
      </c>
      <c r="M79" s="51">
        <v>75143</v>
      </c>
      <c r="N79" s="52">
        <v>90272</v>
      </c>
      <c r="O79" s="12">
        <v>98136</v>
      </c>
      <c r="P79" s="55">
        <v>105900</v>
      </c>
      <c r="Q79" s="37">
        <v>110490.00000000001</v>
      </c>
      <c r="R79" s="37">
        <v>110256</v>
      </c>
      <c r="S79" s="37">
        <v>112392</v>
      </c>
      <c r="T79" s="37">
        <v>146009</v>
      </c>
      <c r="U79" s="38">
        <v>144954</v>
      </c>
      <c r="V79" s="37">
        <v>150254</v>
      </c>
      <c r="W79" s="40">
        <v>152497.343629941</v>
      </c>
      <c r="X79" s="40">
        <v>169549.686199252</v>
      </c>
      <c r="Y79" s="38">
        <v>168076.856231201</v>
      </c>
      <c r="Z79" s="38">
        <v>178883.53617199999</v>
      </c>
      <c r="AA79" s="38">
        <v>174211.09688299999</v>
      </c>
    </row>
    <row r="80" spans="1:27" ht="15.5" x14ac:dyDescent="0.3">
      <c r="A80" s="3" t="s">
        <v>73</v>
      </c>
      <c r="B80" s="17">
        <v>79163</v>
      </c>
      <c r="C80" s="17">
        <v>94066</v>
      </c>
      <c r="D80" s="17">
        <v>114707</v>
      </c>
      <c r="E80" s="17">
        <v>150700</v>
      </c>
      <c r="F80" s="17">
        <v>192511</v>
      </c>
      <c r="G80" s="17">
        <v>233459</v>
      </c>
      <c r="H80" s="17">
        <v>395179</v>
      </c>
      <c r="I80" s="17">
        <v>535702</v>
      </c>
      <c r="J80" s="21">
        <v>0</v>
      </c>
      <c r="K80" s="21">
        <v>0</v>
      </c>
      <c r="L80" s="21">
        <v>127164</v>
      </c>
      <c r="M80" s="48">
        <v>166107</v>
      </c>
      <c r="N80" s="24">
        <v>167931</v>
      </c>
      <c r="O80" s="21">
        <v>184123</v>
      </c>
      <c r="P80" s="54">
        <v>168600</v>
      </c>
      <c r="Q80" s="24">
        <v>190148</v>
      </c>
      <c r="R80" s="24">
        <v>193965</v>
      </c>
      <c r="S80" s="24">
        <v>197675</v>
      </c>
      <c r="T80" s="24">
        <v>192816</v>
      </c>
      <c r="U80" s="24">
        <v>221247</v>
      </c>
      <c r="V80" s="24">
        <v>221299</v>
      </c>
      <c r="W80" s="26">
        <v>229353.01066511401</v>
      </c>
      <c r="X80" s="26">
        <v>281798.06704005098</v>
      </c>
      <c r="Y80" s="28">
        <v>284603.168188499</v>
      </c>
      <c r="Z80" s="28">
        <v>296147.861538</v>
      </c>
      <c r="AA80" s="28">
        <v>333171.23710199998</v>
      </c>
    </row>
    <row r="81" spans="1:30" ht="15.5" x14ac:dyDescent="0.3">
      <c r="A81" s="3" t="s">
        <v>74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>
        <v>1465477</v>
      </c>
      <c r="M81" s="56">
        <v>1771185</v>
      </c>
      <c r="N81" s="24">
        <v>2085279</v>
      </c>
      <c r="O81" s="21">
        <v>2372334</v>
      </c>
      <c r="P81" s="54">
        <v>2545200</v>
      </c>
      <c r="Q81" s="23">
        <v>2668681</v>
      </c>
      <c r="R81" s="23">
        <v>2579263</v>
      </c>
      <c r="S81" s="23">
        <v>2604104</v>
      </c>
      <c r="T81" s="23">
        <v>2708395</v>
      </c>
      <c r="U81" s="28">
        <v>2772248</v>
      </c>
      <c r="V81" s="23">
        <v>2753281</v>
      </c>
      <c r="W81" s="26">
        <v>2865403.0269359602</v>
      </c>
      <c r="X81" s="26">
        <v>3294513.9428014001</v>
      </c>
      <c r="Y81" s="28">
        <v>3600875.6398343202</v>
      </c>
      <c r="Z81" s="28">
        <v>3813093.6702399999</v>
      </c>
      <c r="AA81" s="28">
        <v>4219432.9901590003</v>
      </c>
    </row>
    <row r="82" spans="1:30" ht="15.5" x14ac:dyDescent="0.35">
      <c r="A82" s="61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  <c r="AA82" s="57"/>
    </row>
    <row r="83" spans="1:30" ht="14.5" x14ac:dyDescent="0.35">
      <c r="A83" s="9" t="s">
        <v>77</v>
      </c>
      <c r="B83" s="9">
        <v>46839.552165446003</v>
      </c>
      <c r="C83" s="9">
        <v>48544.013920416997</v>
      </c>
      <c r="D83" s="9">
        <v>51493.914031876004</v>
      </c>
      <c r="E83" s="9">
        <v>60770.068723731994</v>
      </c>
      <c r="F83" s="9">
        <v>70915.272883077996</v>
      </c>
      <c r="G83" s="9">
        <v>82038.376351144994</v>
      </c>
      <c r="H83" s="9">
        <v>94025.988878771997</v>
      </c>
      <c r="I83" s="9">
        <v>121673.643883496</v>
      </c>
      <c r="J83" s="9">
        <v>119889.51390059199</v>
      </c>
      <c r="K83" s="9">
        <v>134188.80169949</v>
      </c>
      <c r="L83" s="9">
        <v>167561.551948496</v>
      </c>
      <c r="M83" s="9">
        <v>182305.182989455</v>
      </c>
      <c r="N83" s="9">
        <v>182763.75904104099</v>
      </c>
      <c r="O83" s="9">
        <v>185672.15076215801</v>
      </c>
      <c r="P83" s="9">
        <v>203912.64791545199</v>
      </c>
      <c r="Q83" s="9">
        <v>210358.83600449399</v>
      </c>
      <c r="R83" s="9">
        <v>229479.68856631601</v>
      </c>
      <c r="S83" s="9">
        <v>265147.42627554503</v>
      </c>
      <c r="T83" s="9">
        <v>270292.96416487405</v>
      </c>
      <c r="U83" s="9">
        <v>283560.62565581902</v>
      </c>
      <c r="V83" s="9">
        <v>267485.15785872698</v>
      </c>
      <c r="W83" s="9">
        <v>316727.06232604705</v>
      </c>
      <c r="X83" s="9">
        <v>334610.72877309303</v>
      </c>
      <c r="Y83" s="9">
        <v>363848.90960338601</v>
      </c>
      <c r="Z83" s="9">
        <v>390989.15338580799</v>
      </c>
      <c r="AA83" s="58" t="s">
        <v>79</v>
      </c>
    </row>
    <row r="84" spans="1:30" ht="14.5" x14ac:dyDescent="0.35">
      <c r="A84" s="10" t="s">
        <v>80</v>
      </c>
      <c r="B84" s="11">
        <v>44.94</v>
      </c>
      <c r="C84" s="11">
        <v>47.19</v>
      </c>
      <c r="D84" s="11">
        <v>48.61</v>
      </c>
      <c r="E84" s="11">
        <v>46.58</v>
      </c>
      <c r="F84" s="11">
        <v>45.32</v>
      </c>
      <c r="G84" s="11">
        <v>44.1</v>
      </c>
      <c r="H84" s="11">
        <v>45.31</v>
      </c>
      <c r="I84" s="11">
        <v>41.35</v>
      </c>
      <c r="J84" s="11">
        <v>43.51</v>
      </c>
      <c r="K84" s="11">
        <v>48.41</v>
      </c>
      <c r="L84" s="11">
        <v>45.73</v>
      </c>
      <c r="M84" s="11">
        <v>46.67</v>
      </c>
      <c r="N84" s="11">
        <v>53.44</v>
      </c>
      <c r="O84" s="11">
        <v>58.6</v>
      </c>
      <c r="P84" s="11">
        <v>61.03</v>
      </c>
      <c r="Q84" s="11">
        <v>64.150000000000006</v>
      </c>
      <c r="R84" s="11">
        <v>67.2</v>
      </c>
      <c r="S84" s="11">
        <v>65.12</v>
      </c>
      <c r="T84" s="11">
        <v>68.39</v>
      </c>
      <c r="U84" s="11">
        <v>70.42</v>
      </c>
      <c r="V84" s="11">
        <v>74.099999999999994</v>
      </c>
      <c r="W84" s="11">
        <v>73.92</v>
      </c>
      <c r="X84" s="11">
        <v>78.599999999999994</v>
      </c>
      <c r="Y84" s="11">
        <v>82.6</v>
      </c>
      <c r="Z84" s="11">
        <v>83.67</v>
      </c>
      <c r="AA84" s="58">
        <v>87.156700000000001</v>
      </c>
    </row>
    <row r="85" spans="1:30" ht="14.5" x14ac:dyDescent="0.35">
      <c r="A85" s="11" t="s">
        <v>78</v>
      </c>
      <c r="B85" s="10">
        <v>2105044.65179636</v>
      </c>
      <c r="C85" s="10">
        <v>2290617.9461612399</v>
      </c>
      <c r="D85" s="10">
        <v>2503135.59623037</v>
      </c>
      <c r="E85" s="10">
        <v>2830869.3801854602</v>
      </c>
      <c r="F85" s="10">
        <v>3213629.5997635499</v>
      </c>
      <c r="G85" s="10">
        <v>3617890.34612606</v>
      </c>
      <c r="H85" s="10">
        <v>4260036.2616804298</v>
      </c>
      <c r="I85" s="10">
        <v>5031026.7199048605</v>
      </c>
      <c r="J85" s="10">
        <v>5215815.2819894701</v>
      </c>
      <c r="K85" s="10">
        <v>6495444.7299442599</v>
      </c>
      <c r="L85" s="10">
        <v>7661888.0431356505</v>
      </c>
      <c r="M85" s="10">
        <v>8508267.9658699296</v>
      </c>
      <c r="N85" s="10">
        <v>9766389.6367532089</v>
      </c>
      <c r="O85" s="10">
        <v>10879987.988541</v>
      </c>
      <c r="P85" s="10">
        <v>12444689.8946929</v>
      </c>
      <c r="Q85" s="10">
        <v>13494928.364720199</v>
      </c>
      <c r="R85" s="10">
        <v>15419959.4561559</v>
      </c>
      <c r="S85" s="10">
        <v>17266816.3212655</v>
      </c>
      <c r="T85" s="10">
        <v>18485191.778369602</v>
      </c>
      <c r="U85" s="10">
        <v>19968435.8212713</v>
      </c>
      <c r="V85" s="10">
        <v>19820534.345124401</v>
      </c>
      <c r="W85" s="10">
        <v>23411835.0520119</v>
      </c>
      <c r="X85" s="10">
        <v>26301905.878812499</v>
      </c>
      <c r="Y85" s="10">
        <v>30053656.668934301</v>
      </c>
      <c r="Z85" s="10">
        <v>32713781.5697309</v>
      </c>
      <c r="AA85" s="13" t="s">
        <v>79</v>
      </c>
    </row>
    <row r="86" spans="1:30" ht="14.5" x14ac:dyDescent="0.3">
      <c r="A86" s="8" t="s">
        <v>76</v>
      </c>
      <c r="B86" s="14">
        <v>3.8409911569999999</v>
      </c>
      <c r="C86" s="14">
        <v>4.8239662660000002</v>
      </c>
      <c r="D86" s="14">
        <v>3.8039753209999998</v>
      </c>
      <c r="E86" s="14">
        <v>7.8603814759999997</v>
      </c>
      <c r="F86" s="14">
        <v>7.922936612</v>
      </c>
      <c r="G86" s="14">
        <v>7.9234306209999996</v>
      </c>
      <c r="H86" s="14">
        <v>8.0607325719999992</v>
      </c>
      <c r="I86" s="14">
        <v>7.6608150669999997</v>
      </c>
      <c r="J86" s="14">
        <v>3.0866980590000002</v>
      </c>
      <c r="K86" s="14">
        <v>7.8618888330000001</v>
      </c>
      <c r="L86" s="14">
        <v>8.4975847019999993</v>
      </c>
      <c r="M86" s="14">
        <v>5.2413161989999999</v>
      </c>
      <c r="N86" s="14">
        <v>5.4563875519999998</v>
      </c>
      <c r="O86" s="14">
        <v>6.3861064010000002</v>
      </c>
      <c r="P86" s="14">
        <v>7.4102276050000002</v>
      </c>
      <c r="Q86" s="14">
        <v>7.9962537859999996</v>
      </c>
      <c r="R86" s="14">
        <v>8.256305502</v>
      </c>
      <c r="S86" s="14">
        <v>6.7953834190000002</v>
      </c>
      <c r="T86" s="14">
        <v>6.4538513450000004</v>
      </c>
      <c r="U86" s="14">
        <v>3.8714369409999998</v>
      </c>
      <c r="V86" s="14">
        <v>-5.777724707</v>
      </c>
      <c r="W86" s="14">
        <v>9.6895924919999992</v>
      </c>
      <c r="X86" s="14">
        <v>7.6093649780000003</v>
      </c>
      <c r="Y86" s="14">
        <v>9.1907549300000007</v>
      </c>
      <c r="Z86" s="15">
        <v>6.494765524</v>
      </c>
      <c r="AA86" s="59" t="s">
        <v>79</v>
      </c>
      <c r="AB86" s="7"/>
      <c r="AC86" s="7"/>
      <c r="AD86" s="7"/>
    </row>
  </sheetData>
  <phoneticPr fontId="4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Shekhar Gupta</dc:creator>
  <cp:lastModifiedBy>Varad Srivastava</cp:lastModifiedBy>
  <dcterms:created xsi:type="dcterms:W3CDTF">2026-04-14T20:36:17Z</dcterms:created>
  <dcterms:modified xsi:type="dcterms:W3CDTF">2026-04-15T12:25:32Z</dcterms:modified>
</cp:coreProperties>
</file>